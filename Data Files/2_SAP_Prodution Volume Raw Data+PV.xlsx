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leandrocherulli/UNI KSU/10th Semester/Senior Project/[EXTERNAL] KSU Capstone – Reference Materials and Sample Raw Data/"/>
    </mc:Choice>
  </mc:AlternateContent>
  <xr:revisionPtr revIDLastSave="0" documentId="13_ncr:1_{F032A600-6E11-8243-9398-CB3BABE8E17F}" xr6:coauthVersionLast="47" xr6:coauthVersionMax="47" xr10:uidLastSave="{00000000-0000-0000-0000-000000000000}"/>
  <bookViews>
    <workbookView xWindow="-20" yWindow="700" windowWidth="17080" windowHeight="19660" activeTab="1" xr2:uid="{00000000-000D-0000-FFFF-FFFF00000000}"/>
  </bookViews>
  <sheets>
    <sheet name="1) SAP PV" sheetId="7" r:id="rId1"/>
    <sheet name="2) SAP RD (0801)" sheetId="16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4" i="16" l="1"/>
  <c r="AO15" i="16"/>
  <c r="AO16" i="16"/>
  <c r="AO17" i="16"/>
  <c r="AO18" i="16"/>
  <c r="AO19" i="16"/>
  <c r="AO20" i="16"/>
  <c r="AO21" i="16"/>
  <c r="AO22" i="16"/>
  <c r="AO23" i="16"/>
  <c r="AO24" i="16"/>
  <c r="AO25" i="16"/>
  <c r="AO26" i="16"/>
  <c r="AO27" i="16"/>
  <c r="AO28" i="16"/>
  <c r="AO29" i="16"/>
  <c r="AO30" i="16"/>
  <c r="AO31" i="16"/>
  <c r="AO32" i="16"/>
  <c r="AO33" i="16"/>
  <c r="AP14" i="16"/>
  <c r="AP15" i="16"/>
  <c r="AP16" i="16"/>
  <c r="AP17" i="16"/>
  <c r="AP18" i="16"/>
  <c r="AP19" i="16"/>
  <c r="AP20" i="16"/>
  <c r="AP21" i="16"/>
  <c r="AP22" i="16"/>
  <c r="AP23" i="16"/>
  <c r="AP24" i="16"/>
  <c r="AP25" i="16"/>
  <c r="AP26" i="16"/>
  <c r="AP27" i="16"/>
  <c r="AP28" i="16"/>
  <c r="AP29" i="16"/>
  <c r="AP30" i="16"/>
  <c r="AP31" i="16"/>
  <c r="AP32" i="16"/>
  <c r="AP33" i="16"/>
  <c r="AQ14" i="16"/>
  <c r="AQ15" i="16"/>
  <c r="AQ16" i="16"/>
  <c r="AQ17" i="16"/>
  <c r="AQ18" i="16"/>
  <c r="AQ19" i="16"/>
  <c r="AQ20" i="16"/>
  <c r="AQ21" i="16"/>
  <c r="AQ22" i="16"/>
  <c r="AQ23" i="16"/>
  <c r="AQ24" i="16"/>
  <c r="AQ25" i="16"/>
  <c r="AQ26" i="16"/>
  <c r="AQ27" i="16"/>
  <c r="AQ28" i="16"/>
  <c r="AQ29" i="16"/>
  <c r="AQ30" i="16"/>
  <c r="AQ31" i="16"/>
  <c r="AQ32" i="16"/>
  <c r="AQ33" i="16"/>
  <c r="AO2" i="16" l="1"/>
  <c r="AP2" i="16"/>
  <c r="AQ2" i="16"/>
  <c r="AO3" i="16"/>
  <c r="AO4" i="16"/>
  <c r="AO5" i="16"/>
  <c r="AO6" i="16"/>
  <c r="AO7" i="16"/>
  <c r="AO8" i="16"/>
  <c r="AO9" i="16"/>
  <c r="AO10" i="16"/>
  <c r="AO11" i="16"/>
  <c r="AO12" i="16"/>
  <c r="AO13" i="16"/>
  <c r="AP3" i="16"/>
  <c r="AP4" i="16"/>
  <c r="AP5" i="16"/>
  <c r="AP6" i="16"/>
  <c r="AP7" i="16"/>
  <c r="AP8" i="16"/>
  <c r="AP9" i="16"/>
  <c r="AP10" i="16"/>
  <c r="AP11" i="16"/>
  <c r="AP12" i="16"/>
  <c r="AP13" i="16"/>
  <c r="AQ3" i="16"/>
  <c r="AQ4" i="16"/>
  <c r="AQ5" i="16"/>
  <c r="AQ6" i="16"/>
  <c r="AQ7" i="16"/>
  <c r="AQ8" i="16"/>
  <c r="AQ9" i="16"/>
  <c r="AQ10" i="16"/>
  <c r="AQ11" i="16"/>
  <c r="AQ12" i="16"/>
  <c r="AQ13" i="16"/>
</calcChain>
</file>

<file path=xl/sharedStrings.xml><?xml version="1.0" encoding="utf-8"?>
<sst xmlns="http://schemas.openxmlformats.org/spreadsheetml/2006/main" count="329" uniqueCount="115">
  <si>
    <t>Material</t>
  </si>
  <si>
    <t>Material Description</t>
  </si>
  <si>
    <t>Type</t>
  </si>
  <si>
    <t>G01</t>
  </si>
  <si>
    <t>C</t>
  </si>
  <si>
    <t>MD06G1103-074-0590</t>
  </si>
  <si>
    <t>Q.PEAK DUO XL-G11S.3/590/BFG/X/074</t>
  </si>
  <si>
    <t>MD06G1103-074-0595</t>
  </si>
  <si>
    <t>Q.PEAK DUO XL-G11S.3/595/BFG/X/074</t>
  </si>
  <si>
    <t>MD06G1103-090-0590</t>
  </si>
  <si>
    <t>Q.PEAK DUO XL-G11S.3/590/BFG/X/090</t>
  </si>
  <si>
    <t>MD06G1103-091-0590</t>
  </si>
  <si>
    <t>Q.PEAK DUO XL-G11S.3/590/BFG/X/091</t>
  </si>
  <si>
    <t>MD06G1103-090-0595</t>
  </si>
  <si>
    <t>Q.PEAK DUO XL-G11S.3/595/BFG/X/090</t>
  </si>
  <si>
    <t>Material type</t>
  </si>
  <si>
    <t>Storage location</t>
  </si>
  <si>
    <t>Efficiency(WT)</t>
  </si>
  <si>
    <t>Qgrade</t>
  </si>
  <si>
    <t>Last Stock</t>
  </si>
  <si>
    <t>[WT]Last Stock</t>
  </si>
  <si>
    <t>GR</t>
  </si>
  <si>
    <t>[WT]GR</t>
  </si>
  <si>
    <t>RW.GR</t>
  </si>
  <si>
    <t>[WT]RW.GR</t>
  </si>
  <si>
    <t>Tr.GR</t>
  </si>
  <si>
    <t>[WT]Tr.GR</t>
  </si>
  <si>
    <t>Etc.GR</t>
  </si>
  <si>
    <t>[WT]Etc.GR</t>
  </si>
  <si>
    <t>STO.GR</t>
  </si>
  <si>
    <t>[WT]STO.GR</t>
  </si>
  <si>
    <t>Sum.GR</t>
  </si>
  <si>
    <t>[WT]Sum.GR</t>
  </si>
  <si>
    <t>GI</t>
  </si>
  <si>
    <t>[WT]GI</t>
  </si>
  <si>
    <t>GI for SD</t>
  </si>
  <si>
    <t>[WT]GI for SD</t>
  </si>
  <si>
    <t>Gi Backlog</t>
  </si>
  <si>
    <t>[WT]GI Backlog</t>
  </si>
  <si>
    <t>GI for Downstream</t>
  </si>
  <si>
    <t>[WT]GI for DS</t>
  </si>
  <si>
    <t>Tr.GI</t>
  </si>
  <si>
    <t>[WT]Tr.GI</t>
  </si>
  <si>
    <t>Etc.GI</t>
  </si>
  <si>
    <t>[WT]Etc.GI</t>
  </si>
  <si>
    <t>STO.GI</t>
  </si>
  <si>
    <t>[WT]STO.GI</t>
  </si>
  <si>
    <t>Sum.GI</t>
  </si>
  <si>
    <t>[WT]Sum.GI</t>
  </si>
  <si>
    <t>Sum.Total</t>
  </si>
  <si>
    <t>[WT]Sum.Total</t>
  </si>
  <si>
    <t>Base Unit of Measure</t>
  </si>
  <si>
    <t>Base Unit of Measure2</t>
  </si>
  <si>
    <t>ZMDL</t>
  </si>
  <si>
    <t>PFN1</t>
  </si>
  <si>
    <t>PCS</t>
  </si>
  <si>
    <t>WT</t>
  </si>
  <si>
    <t>MD06G1103-090-0585</t>
  </si>
  <si>
    <t>Q.PEAK DUO XL-G11S.3/585/BFG/X/090</t>
  </si>
  <si>
    <t>ZBOM</t>
  </si>
  <si>
    <t>MD06G1103-093</t>
  </si>
  <si>
    <t>MD06G1103-093-0590</t>
  </si>
  <si>
    <t>Q.PEAK DUO XL-G11S.3/590/BFG/C/093</t>
  </si>
  <si>
    <t>MD06G1207-002</t>
  </si>
  <si>
    <t>MD06G1103-096</t>
  </si>
  <si>
    <t>595</t>
  </si>
  <si>
    <t>590</t>
  </si>
  <si>
    <t>585</t>
  </si>
  <si>
    <t/>
  </si>
  <si>
    <t>MD06G1207-001-0660</t>
  </si>
  <si>
    <t>Q.PEAK DUO ML-G12S.7/660/BFG/C/001</t>
  </si>
  <si>
    <t>660</t>
  </si>
  <si>
    <t>B</t>
  </si>
  <si>
    <t>MD06G1207-001-0675</t>
  </si>
  <si>
    <t>Q.PEAK DUO ML-G12S.7/675/BFG/C/001</t>
  </si>
  <si>
    <t>675</t>
  </si>
  <si>
    <t>MD06G1207-002-0660</t>
  </si>
  <si>
    <t>Q.PEAK DUO ML-G12S.7/660/DCA/BFG/C/002</t>
  </si>
  <si>
    <t>MD06G1103-096-0590</t>
  </si>
  <si>
    <t>Q.PEAK DUO XL-G11S.3/590/DCA/BFG/C/096</t>
  </si>
  <si>
    <t>MD06G1103-091</t>
  </si>
  <si>
    <t>MD06G1207-001</t>
  </si>
  <si>
    <t xml:space="preserve"> MW</t>
  </si>
  <si>
    <t>PCS</t>
    <phoneticPr fontId="5" type="noConversion"/>
  </si>
  <si>
    <t>Material Code</t>
    <phoneticPr fontId="5" type="noConversion"/>
  </si>
  <si>
    <t xml:space="preserve"> PCS</t>
  </si>
  <si>
    <t>MD06G1103-098</t>
  </si>
  <si>
    <t>MD06G1103-098-0590</t>
  </si>
  <si>
    <t>Q.PEAK DUO XL-G11S.3/590/DCA.B/BFG/C/098</t>
  </si>
  <si>
    <t>MD06G1103-101</t>
  </si>
  <si>
    <t>Q.PEAK DUO XL-G11S.3/DCA.L(T)/BFG/C/101</t>
  </si>
  <si>
    <t>MD06G1103-101-0590</t>
  </si>
  <si>
    <t>Q.PEAK DUO XL-G11S.3/590/DCA.L(T)/BFG/C/</t>
  </si>
  <si>
    <t>MD06G1103-101-0595</t>
  </si>
  <si>
    <t>Q.PEAK DUO XL-G11S.3/595/DCA.L(T)/BFG/C/</t>
  </si>
  <si>
    <t>MD06G1103-103-0590</t>
  </si>
  <si>
    <t>Q.PEAK DUO XL-G11S.3/590/BFG/C/103</t>
  </si>
  <si>
    <t>MD06G1103-103</t>
  </si>
  <si>
    <t>Q.PEAK DUO XL-G11S.3/BFG/C/103</t>
  </si>
  <si>
    <t>MD06G1103-103-0595</t>
  </si>
  <si>
    <t>Q.PEAK DUO XL-G11S.3/595/BFG/C/103</t>
  </si>
  <si>
    <t>MD06G1203-003</t>
  </si>
  <si>
    <t>Q.PEAK DUO ML-G12S.3/DCA/BFG/X/003</t>
  </si>
  <si>
    <t>MD06G1203-003-0650</t>
  </si>
  <si>
    <t>Q.PEAK DUO ML-G12S.3/650/DCA/BFG/X/003</t>
  </si>
  <si>
    <t>MD06G1203-003-0655</t>
  </si>
  <si>
    <t>Q.PEAK DUO ML-G12S.3/655/DCA/BFG/X/003</t>
  </si>
  <si>
    <t>MD06G1203-003-0660</t>
  </si>
  <si>
    <t>Q.PEAK DUO ML-G12S.3/660/DCA/BFG/X/003</t>
  </si>
  <si>
    <t>Row Labels</t>
  </si>
  <si>
    <t>Grand Total</t>
  </si>
  <si>
    <t>650</t>
  </si>
  <si>
    <t>655</t>
  </si>
  <si>
    <t>MD06G1103-074</t>
  </si>
  <si>
    <t>MD06G1103-090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</si>
</sst>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* #,##0.00_-;\-* #,##0.00_-;_-* &quot;-&quot;??_-;_-@_-"/>
    <numFmt numFmtId="166" formatCode="#,##0.000"/>
    <numFmt numFmtId="167" formatCode="0.0"/>
    <numFmt numFmtId="168" formatCode="_-* #,##0.0_-;\-* #,##0.0_-;_-* &quot;-&quot;_-;_-@_-"/>
    <numFmt numFmtId="169" formatCode="0.0_);\(0.0\)"/>
  </numFmts>
  <fonts count="2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Noto Sans"/>
      <family val="2"/>
    </font>
    <font>
      <sz val="10"/>
      <name val="Arial"/>
      <family val="2"/>
    </font>
    <font>
      <sz val="10"/>
      <name val="Noto Sans"/>
      <family val="2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Noto Sans"/>
      <family val="2"/>
    </font>
    <font>
      <sz val="11"/>
      <color theme="1"/>
      <name val="Calibri"/>
      <family val="2"/>
      <charset val="129"/>
      <scheme val="minor"/>
    </font>
    <font>
      <sz val="10"/>
      <name val="NOTO"/>
    </font>
    <font>
      <sz val="10"/>
      <name val="NOTO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Noto Sans"/>
      <family val="2"/>
    </font>
    <font>
      <sz val="10"/>
      <name val="Arial"/>
      <family val="2"/>
    </font>
    <font>
      <sz val="10"/>
      <name val="Noto Sans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25">
    <xf numFmtId="0" fontId="0" fillId="0" borderId="0"/>
    <xf numFmtId="0" fontId="3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9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>
      <alignment vertical="center"/>
    </xf>
    <xf numFmtId="0" fontId="14" fillId="0" borderId="0"/>
    <xf numFmtId="0" fontId="16" fillId="0" borderId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6" fillId="0" borderId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9" fillId="0" borderId="0"/>
    <xf numFmtId="0" fontId="20" fillId="0" borderId="0"/>
    <xf numFmtId="0" fontId="22" fillId="0" borderId="0"/>
  </cellStyleXfs>
  <cellXfs count="29">
    <xf numFmtId="0" fontId="0" fillId="0" borderId="0" xfId="0"/>
    <xf numFmtId="0" fontId="2" fillId="0" borderId="0" xfId="0" applyFont="1"/>
    <xf numFmtId="0" fontId="4" fillId="0" borderId="0" xfId="1" applyFont="1" applyAlignment="1">
      <alignment vertical="top"/>
    </xf>
    <xf numFmtId="0" fontId="2" fillId="0" borderId="0" xfId="0" applyFont="1" applyAlignment="1">
      <alignment horizontal="right"/>
    </xf>
    <xf numFmtId="164" fontId="2" fillId="0" borderId="0" xfId="10" applyFont="1" applyAlignment="1"/>
    <xf numFmtId="0" fontId="15" fillId="0" borderId="0" xfId="0" applyFont="1" applyAlignment="1">
      <alignment horizontal="right"/>
    </xf>
    <xf numFmtId="168" fontId="2" fillId="0" borderId="0" xfId="10" applyNumberFormat="1" applyFont="1" applyAlignment="1"/>
    <xf numFmtId="0" fontId="17" fillId="2" borderId="1" xfId="1" applyFont="1" applyFill="1" applyBorder="1" applyAlignment="1">
      <alignment vertical="top"/>
    </xf>
    <xf numFmtId="0" fontId="18" fillId="2" borderId="1" xfId="1" applyFont="1" applyFill="1" applyBorder="1" applyAlignment="1">
      <alignment vertical="top" wrapText="1"/>
    </xf>
    <xf numFmtId="0" fontId="18" fillId="2" borderId="2" xfId="1" applyFont="1" applyFill="1" applyBorder="1" applyAlignment="1">
      <alignment vertical="top"/>
    </xf>
    <xf numFmtId="0" fontId="18" fillId="0" borderId="0" xfId="1" applyFont="1" applyAlignment="1">
      <alignment vertical="top"/>
    </xf>
    <xf numFmtId="0" fontId="18" fillId="0" borderId="0" xfId="1" applyFont="1" applyAlignment="1">
      <alignment horizontal="right" vertical="top"/>
    </xf>
    <xf numFmtId="9" fontId="21" fillId="0" borderId="0" xfId="9" applyFont="1" applyAlignment="1"/>
    <xf numFmtId="9" fontId="4" fillId="0" borderId="0" xfId="9" applyFont="1" applyAlignment="1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2" fontId="17" fillId="2" borderId="1" xfId="1" applyNumberFormat="1" applyFont="1" applyFill="1" applyBorder="1" applyAlignment="1">
      <alignment vertical="top"/>
    </xf>
    <xf numFmtId="169" fontId="0" fillId="0" borderId="0" xfId="0" applyNumberFormat="1" applyAlignment="1">
      <alignment vertical="top"/>
    </xf>
    <xf numFmtId="169" fontId="18" fillId="0" borderId="0" xfId="1" applyNumberFormat="1" applyFont="1" applyAlignment="1">
      <alignment vertical="top"/>
    </xf>
    <xf numFmtId="0" fontId="23" fillId="0" borderId="0" xfId="0" pivotButton="1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 indent="1"/>
    </xf>
    <xf numFmtId="0" fontId="23" fillId="0" borderId="0" xfId="0" applyNumberFormat="1" applyFont="1" applyAlignment="1">
      <alignment horizontal="center" vertical="center" indent="2"/>
    </xf>
    <xf numFmtId="167" fontId="23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67" fontId="23" fillId="0" borderId="0" xfId="0" applyNumberFormat="1" applyFont="1" applyBorder="1" applyAlignment="1">
      <alignment horizontal="center" vertical="center"/>
    </xf>
    <xf numFmtId="164" fontId="23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</cellXfs>
  <cellStyles count="125">
    <cellStyle name="Comma [0]" xfId="10" builtinId="6"/>
    <cellStyle name="Comma [0] 10" xfId="74" xr:uid="{A0C6B7DF-FA99-4DB1-96D3-316B85B320E0}"/>
    <cellStyle name="Comma [0] 11" xfId="82" xr:uid="{4CC38DB0-0196-490A-87C5-E1C1F3D6503D}"/>
    <cellStyle name="Comma [0] 12" xfId="87" xr:uid="{CA58A31E-48D0-4075-9760-B8B2337F4C52}"/>
    <cellStyle name="Comma [0] 13" xfId="21" xr:uid="{61568139-FFD4-4DA9-9E09-8C82EE66A2E4}"/>
    <cellStyle name="Comma [0] 14" xfId="103" xr:uid="{9C3CE16B-9584-453D-9D59-02433EAED8CF}"/>
    <cellStyle name="Comma [0] 15" xfId="108" xr:uid="{566B8379-E747-4969-BE86-DB17AC8C07EB}"/>
    <cellStyle name="Comma [0] 16" xfId="116" xr:uid="{F93F8175-7BC8-47B8-B015-31A5B327F778}"/>
    <cellStyle name="Comma [0] 17" xfId="121" xr:uid="{00C3064C-218C-4DB1-B0B8-7D2847032682}"/>
    <cellStyle name="Comma [0] 18" xfId="14" xr:uid="{AD3DA255-6E0F-4337-9E9C-205848648145}"/>
    <cellStyle name="Comma [0] 2" xfId="27" xr:uid="{6A580871-5DED-44E9-9488-F0492B0824AC}"/>
    <cellStyle name="Comma [0] 2 2" xfId="42" xr:uid="{9DD92602-E1CF-45B3-B88E-DC19F9F9017A}"/>
    <cellStyle name="Comma [0] 3" xfId="30" xr:uid="{738F5A98-B333-4D87-B120-58D3D9E89700}"/>
    <cellStyle name="Comma [0] 3 2" xfId="45" xr:uid="{F321BED4-EC97-4A8D-AC4E-36F11978F9D0}"/>
    <cellStyle name="Comma [0] 4" xfId="33" xr:uid="{EA38D104-0973-43AA-9926-D19D03D8C092}"/>
    <cellStyle name="Comma [0] 4 2" xfId="48" xr:uid="{6DE24E9A-EB7A-4E61-997B-DC2900CA26A8}"/>
    <cellStyle name="Comma [0] 5" xfId="36" xr:uid="{F8B76AC9-FC52-41BF-9614-EDDECBAEF052}"/>
    <cellStyle name="Comma [0] 5 2" xfId="51" xr:uid="{7727B569-7FFD-4AC7-881A-FC8A36AE1CC4}"/>
    <cellStyle name="Comma [0] 6" xfId="24" xr:uid="{344AD84B-D72D-4CC3-9F73-ACE209ED1EB4}"/>
    <cellStyle name="Comma [0] 7" xfId="39" xr:uid="{8EC039C1-DFC1-4BCD-8729-A19E1FC84F53}"/>
    <cellStyle name="Comma [0] 8" xfId="53" xr:uid="{B939FB1D-71F3-47E4-84D2-A0EA60108D22}"/>
    <cellStyle name="Comma [0] 9" xfId="65" xr:uid="{FCAEAF65-1DA4-41CF-B187-D25010352CB5}"/>
    <cellStyle name="Comma 2" xfId="119" xr:uid="{39EB75C9-CC5E-4744-B825-DE498D6845D6}"/>
    <cellStyle name="Comma 3" xfId="13" xr:uid="{EC8D3FED-C3C6-46FA-BD10-1F9029189F9D}"/>
    <cellStyle name="Normal" xfId="0" builtinId="0"/>
    <cellStyle name="Normal 10" xfId="11" xr:uid="{0BD6A3C1-BD37-495C-83D3-3B3A883F9B1A}"/>
    <cellStyle name="Normal 10 2" xfId="120" xr:uid="{13E8A317-53C4-48D0-9598-C8AD996C4C02}"/>
    <cellStyle name="Normal 11" xfId="12" xr:uid="{E5C2FBFA-8EBA-4A4B-8F37-A830476BE223}"/>
    <cellStyle name="Normal 12" xfId="122" xr:uid="{28969090-4FB6-4B5F-95C4-1216479458A5}"/>
    <cellStyle name="Normal 13" xfId="123" xr:uid="{6B93219C-0A13-4579-8CBB-CC126D164FCC}"/>
    <cellStyle name="Normal 14" xfId="124" xr:uid="{F8F62261-328F-4C40-916A-8611EA43EE6A}"/>
    <cellStyle name="Normal 2" xfId="1" xr:uid="{179B7565-908F-4A3C-98FC-03542FD2CCDD}"/>
    <cellStyle name="Normal 2 2" xfId="16" xr:uid="{311447C0-B26E-4BEE-B50D-11D41AC48D19}"/>
    <cellStyle name="Normal 3" xfId="2" xr:uid="{D80F2220-43C2-4E10-8489-E3D74285D3BE}"/>
    <cellStyle name="Normal 3 2" xfId="18" xr:uid="{803559BB-D73B-4711-A7E6-41F333BF87D5}"/>
    <cellStyle name="Normal 4" xfId="3" xr:uid="{A1493848-86B3-4885-BD72-FA1A865BC959}"/>
    <cellStyle name="Normal 4 2" xfId="90" xr:uid="{80F54DD8-9DDC-46C5-A8FF-0AAB1CDA4E0A}"/>
    <cellStyle name="Normal 5" xfId="4" xr:uid="{584E42EF-8065-4E65-ADA0-16FA49E5A8DF}"/>
    <cellStyle name="Normal 5 2" xfId="91" xr:uid="{E8428B1B-A37F-4890-8F47-4AC9BA0DD0B6}"/>
    <cellStyle name="Normal 6" xfId="5" xr:uid="{54C227D8-69A3-4358-9747-7CDD1CEBB7B6}"/>
    <cellStyle name="Normal 6 2" xfId="92" xr:uid="{4F6D8450-E02B-406F-BFA4-E42DD5F2F5CE}"/>
    <cellStyle name="Normal 7" xfId="6" xr:uid="{51ABAF15-1249-4CDA-9D84-198FC1CAB185}"/>
    <cellStyle name="Normal 7 2" xfId="94" xr:uid="{D6BCF762-0766-4B31-A58E-0165C225E023}"/>
    <cellStyle name="Normal 8" xfId="7" xr:uid="{F4968114-757D-43A3-804D-E8B0373679CC}"/>
    <cellStyle name="Normal 8 2" xfId="93" xr:uid="{7B5F9DBA-984E-4A0F-9C60-0A5D97CB8FDC}"/>
    <cellStyle name="Normal 9" xfId="8" xr:uid="{CE480B0C-79EF-4648-B8ED-09561261417B}"/>
    <cellStyle name="Normal 9 2" xfId="118" xr:uid="{25FC66F9-725E-4ADF-85B3-70C3EF574691}"/>
    <cellStyle name="Percent" xfId="9" builtinId="5"/>
    <cellStyle name="Percent 2" xfId="17" xr:uid="{A3F6437E-D290-46A4-9E38-B1FD55A97E66}"/>
    <cellStyle name="Percent 3" xfId="15" xr:uid="{73E29A6E-4D76-4EAD-9763-507CCB733E43}"/>
    <cellStyle name="쉼표 [0] 10" xfId="109" xr:uid="{BF9D4EFD-5A71-4CF1-AA96-1B082F0345C8}"/>
    <cellStyle name="쉼표 [0] 11" xfId="117" xr:uid="{F98E0DFB-F59A-4601-9C40-EC66A1B4663A}"/>
    <cellStyle name="쉼표 [0] 2" xfId="20" xr:uid="{6CE5A7C7-2200-4949-AFF1-BF4D16C0682F}"/>
    <cellStyle name="쉼표 [0] 2 2" xfId="26" xr:uid="{6B2CC4FB-585A-4D55-BD6B-DA2D0BBAC660}"/>
    <cellStyle name="쉼표 [0] 2 2 2" xfId="41" xr:uid="{2A35A1C5-1455-4599-B734-70E99665FF15}"/>
    <cellStyle name="쉼표 [0] 2 3" xfId="29" xr:uid="{2D5E0097-5515-40AD-9318-286F86B8220C}"/>
    <cellStyle name="쉼표 [0] 2 3 2" xfId="44" xr:uid="{1C3DB7F9-7BCC-4348-B437-47FC38C501BC}"/>
    <cellStyle name="쉼표 [0] 2 4" xfId="32" xr:uid="{934D8C76-E51F-4FE3-A3AB-DC28D68A4D4E}"/>
    <cellStyle name="쉼표 [0] 2 4 2" xfId="47" xr:uid="{BC2DC1F0-793C-4736-80EE-EA40983CD0D8}"/>
    <cellStyle name="쉼표 [0] 2 5" xfId="35" xr:uid="{E305246C-7F66-4FBF-BD71-9BF47C07FF41}"/>
    <cellStyle name="쉼표 [0] 2 5 2" xfId="50" xr:uid="{E0BFD612-FBC9-43F5-B295-EC9AD935B548}"/>
    <cellStyle name="쉼표 [0] 2 6" xfId="23" xr:uid="{718091CB-A555-41D7-9558-2AB9394B84E8}"/>
    <cellStyle name="쉼표 [0] 2 7" xfId="38" xr:uid="{A538E4BC-64A2-4214-80F1-06662EA834AB}"/>
    <cellStyle name="쉼표 [0] 3" xfId="54" xr:uid="{4DC38261-E4DD-4CD9-9CC2-C830C748D614}"/>
    <cellStyle name="쉼표 [0] 4" xfId="66" xr:uid="{4B0E6194-4314-4443-BA65-5C404782F39E}"/>
    <cellStyle name="쉼표 [0] 5" xfId="75" xr:uid="{86BBDA72-2B1C-49B7-ADF1-778C2CC45E39}"/>
    <cellStyle name="쉼표 [0] 6" xfId="84" xr:uid="{95194DF2-1B08-4495-B1FC-2DDF5BDE10A4}"/>
    <cellStyle name="쉼표 [0] 7" xfId="88" xr:uid="{449D4D5D-89C0-4062-A44C-6C34CAE19823}"/>
    <cellStyle name="쉼표 [0] 8" xfId="96" xr:uid="{DE6B8A59-0FBD-4D5D-AA4A-C377C0D06694}"/>
    <cellStyle name="쉼표 [0] 9" xfId="104" xr:uid="{AC31EFA7-BEFF-4AD7-BCBC-CCFF0CCBDDFD}"/>
    <cellStyle name="쉼표 10" xfId="61" xr:uid="{CD35B21C-5A25-446F-97B6-475162C97223}"/>
    <cellStyle name="쉼표 11" xfId="62" xr:uid="{748F64E8-2B1E-4D6E-82D1-682545B874C4}"/>
    <cellStyle name="쉼표 12" xfId="63" xr:uid="{F0E4E8D6-EE39-4E07-9FA1-0A82E73F5311}"/>
    <cellStyle name="쉼표 13" xfId="64" xr:uid="{DE0BE4CD-E3D6-4452-8990-E8D3870FA792}"/>
    <cellStyle name="쉼표 14" xfId="67" xr:uid="{24B991E7-B758-40E5-9E4E-A40ACE252CE8}"/>
    <cellStyle name="쉼표 15" xfId="68" xr:uid="{8E1FC6FD-D54A-4931-8E4D-739920BDCD89}"/>
    <cellStyle name="쉼표 16" xfId="69" xr:uid="{850BDED4-C2AB-40A7-8439-22261F0A6FB4}"/>
    <cellStyle name="쉼표 17" xfId="70" xr:uid="{180DCFB6-D880-43B5-A07B-BA5557728748}"/>
    <cellStyle name="쉼표 18" xfId="71" xr:uid="{E691DBB4-66DD-4AB6-B2EF-4D5EB2B12CD7}"/>
    <cellStyle name="쉼표 19" xfId="72" xr:uid="{39F52537-245D-4E63-8444-677FFF44FC50}"/>
    <cellStyle name="쉼표 2" xfId="19" xr:uid="{BA8CFDCA-5132-4D9E-8CCC-D3015FCFC5AC}"/>
    <cellStyle name="쉼표 2 2" xfId="25" xr:uid="{FDF96AE8-A674-48DC-B012-3A455631F9BE}"/>
    <cellStyle name="쉼표 2 2 2" xfId="40" xr:uid="{A025F436-D387-4052-857E-8359CEAA298B}"/>
    <cellStyle name="쉼표 2 3" xfId="28" xr:uid="{6904EFFB-EFB5-4A7B-BE32-86C9BD48744E}"/>
    <cellStyle name="쉼표 2 3 2" xfId="43" xr:uid="{AAF70700-E701-4FFB-8D48-D341EE2F364E}"/>
    <cellStyle name="쉼표 2 4" xfId="31" xr:uid="{5E448B3C-1911-40EE-B835-7DFF896AB51A}"/>
    <cellStyle name="쉼표 2 4 2" xfId="46" xr:uid="{65ECBE70-ACE4-4C78-9D3D-3D858917148E}"/>
    <cellStyle name="쉼표 2 5" xfId="34" xr:uid="{F60FFBF7-51AD-442F-97B3-D6CBDD2230A4}"/>
    <cellStyle name="쉼표 2 5 2" xfId="49" xr:uid="{43E5902A-F4E1-47A6-B33A-AC3FF0B71829}"/>
    <cellStyle name="쉼표 2 6" xfId="22" xr:uid="{550A3F61-DF4A-409E-9455-6DCE272C7875}"/>
    <cellStyle name="쉼표 2 7" xfId="37" xr:uid="{AB1B4CEB-9617-4471-B203-C19D95FF85A5}"/>
    <cellStyle name="쉼표 20" xfId="73" xr:uid="{8970E0E3-7D8E-4401-9CD7-FAD83D8F9755}"/>
    <cellStyle name="쉼표 21" xfId="76" xr:uid="{AF0573CF-A031-4D2B-B445-0D262B7E8FC6}"/>
    <cellStyle name="쉼표 22" xfId="77" xr:uid="{777C0E98-F8DB-4758-817D-B5B2E7F48592}"/>
    <cellStyle name="쉼표 23" xfId="78" xr:uid="{5D85AB8E-EB2C-4FF7-9973-D304C192DD29}"/>
    <cellStyle name="쉼표 24" xfId="79" xr:uid="{92B4497A-D5EE-4F7D-B114-FA9568E38FB1}"/>
    <cellStyle name="쉼표 25" xfId="80" xr:uid="{7C366513-603D-47F4-8748-B90A191756D5}"/>
    <cellStyle name="쉼표 26" xfId="81" xr:uid="{92FE692B-34AB-45A2-B811-7EAA25B20EBF}"/>
    <cellStyle name="쉼표 27" xfId="83" xr:uid="{6070C3C3-5D67-4A12-B25A-C2F9A75798FE}"/>
    <cellStyle name="쉼표 28" xfId="85" xr:uid="{FEC2FE28-57FD-45DF-B426-0FD1F079A4D3}"/>
    <cellStyle name="쉼표 29" xfId="86" xr:uid="{72D2D090-5CEB-45FF-A440-E5C408443E0D}"/>
    <cellStyle name="쉼표 3" xfId="52" xr:uid="{72B61E19-DAA0-40DA-81A5-F25CA9366149}"/>
    <cellStyle name="쉼표 30" xfId="89" xr:uid="{5FC1350F-FB2E-439A-86B3-87E2409DBE79}"/>
    <cellStyle name="쉼표 31" xfId="95" xr:uid="{21745704-5DEE-45D6-BF2B-456F567C36F9}"/>
    <cellStyle name="쉼표 32" xfId="97" xr:uid="{2B6641EE-A7EF-4295-916E-8F3878059F86}"/>
    <cellStyle name="쉼표 33" xfId="98" xr:uid="{AD2300B4-68F8-47FF-A021-7DDA8DAA273C}"/>
    <cellStyle name="쉼표 34" xfId="99" xr:uid="{F73F5C13-5E92-494A-BB3F-6F6F4D23F845}"/>
    <cellStyle name="쉼표 35" xfId="100" xr:uid="{5E226761-8D3E-4E4C-870C-27F8B0D6857D}"/>
    <cellStyle name="쉼표 36" xfId="101" xr:uid="{8B7BE6FD-5EEC-4068-A5B1-6A03149BC1BC}"/>
    <cellStyle name="쉼표 37" xfId="102" xr:uid="{13F669F2-8BD9-461E-B72C-7D091AB56752}"/>
    <cellStyle name="쉼표 38" xfId="105" xr:uid="{C45C547B-8CB5-47CA-A882-02A5B3775CBC}"/>
    <cellStyle name="쉼표 39" xfId="106" xr:uid="{4271ABE6-A9F1-4F1A-B541-627F96F1E34E}"/>
    <cellStyle name="쉼표 4" xfId="55" xr:uid="{6E6B2242-D4BF-4D17-849B-89EC20DD1837}"/>
    <cellStyle name="쉼표 40" xfId="107" xr:uid="{D25996AC-9CB8-4662-866F-6C7B240F1F0D}"/>
    <cellStyle name="쉼표 41" xfId="110" xr:uid="{FA394A2A-66A9-4BD0-992C-C3FAFEA94A28}"/>
    <cellStyle name="쉼표 42" xfId="111" xr:uid="{6E28625C-48DB-47F9-A7D7-26121DE759D8}"/>
    <cellStyle name="쉼표 43" xfId="112" xr:uid="{5B5A8D0C-C83A-4631-86F4-BB8FEAADEE95}"/>
    <cellStyle name="쉼표 44" xfId="113" xr:uid="{DC6413FA-D679-430E-81E9-F7D47B2ACBDD}"/>
    <cellStyle name="쉼표 45" xfId="114" xr:uid="{05159904-DB28-40EA-BCCB-265C924A68D1}"/>
    <cellStyle name="쉼표 46" xfId="115" xr:uid="{0DBBCE0D-9147-4637-9380-73ED2ACAC93A}"/>
    <cellStyle name="쉼표 5" xfId="56" xr:uid="{C8281C84-6F18-493E-AF5D-FD55002843FF}"/>
    <cellStyle name="쉼표 6" xfId="57" xr:uid="{B347CCED-C78D-4D9D-A010-F8B5225244DE}"/>
    <cellStyle name="쉼표 7" xfId="58" xr:uid="{AEFAA195-00AE-4599-94B6-9B67B92B66C4}"/>
    <cellStyle name="쉼표 8" xfId="59" xr:uid="{5AB3D0FD-9B77-4307-B715-2FF1797160CD}"/>
    <cellStyle name="쉼표 9" xfId="60" xr:uid="{163CFD1F-82AE-48E9-BEB7-54A0E22111BD}"/>
  </cellStyles>
  <dxfs count="140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numFmt numFmtId="167" formatCode="0.0"/>
    </dxf>
    <dxf>
      <numFmt numFmtId="164" formatCode="_-* #,##0_-;\-* #,##0_-;_-* &quot;-&quot;_-;_-@_-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numFmt numFmtId="167" formatCode="0.0"/>
    </dxf>
    <dxf>
      <numFmt numFmtId="164" formatCode="_-* #,##0_-;\-* #,##0_-;_-* &quot;-&quot;_-;_-@_-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4" formatCode="_-* #,##0_-;\-* #,##0_-;_-* &quot;-&quot;_-;_-@_-"/>
    </dxf>
    <dxf>
      <numFmt numFmtId="167" formatCode="0.0"/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font>
        <name val="Noto Sans"/>
        <scheme val="none"/>
      </font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sz val="10"/>
        <name val="Noto Sans"/>
        <scheme val="none"/>
      </font>
      <numFmt numFmtId="0" formatCode="General"/>
      <alignment horizontal="center" vertic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0" formatCode="General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0" formatCode="General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0" formatCode="General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6" formatCode="#,##0.00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numFmt numFmtId="169" formatCode="0.0_);\(0.0\)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alignment horizontal="general" vertical="top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alignment horizontal="right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"/>
        <family val="2"/>
        <scheme val="none"/>
      </font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an Kim" refreshedDate="46247.266946990741" createdVersion="7" refreshedVersion="7" minRefreshableVersion="3" recordCount="32" xr:uid="{91DD162F-1ADA-49A1-BC83-7988F6EA04F9}">
  <cacheSource type="worksheet">
    <worksheetSource name="Table13569"/>
  </cacheSource>
  <cacheFields count="44">
    <cacheField name="Material type" numFmtId="0">
      <sharedItems/>
    </cacheField>
    <cacheField name="Storage location" numFmtId="0">
      <sharedItems/>
    </cacheField>
    <cacheField name="Material" numFmtId="0">
      <sharedItems/>
    </cacheField>
    <cacheField name="Material Description" numFmtId="0">
      <sharedItems/>
    </cacheField>
    <cacheField name="Efficiency(WT)" numFmtId="0">
      <sharedItems containsMixedTypes="1" containsNumber="1" containsInteger="1" minValue="585" maxValue="675" count="15">
        <s v="590"/>
        <s v="595"/>
        <s v="585"/>
        <s v=""/>
        <s v="650"/>
        <s v="655"/>
        <s v="660"/>
        <s v="675"/>
        <n v="650" u="1"/>
        <n v="585" u="1"/>
        <n v="675" u="1"/>
        <n v="655" u="1"/>
        <n v="590" u="1"/>
        <n v="660" u="1"/>
        <n v="595" u="1"/>
      </sharedItems>
    </cacheField>
    <cacheField name="Qgrade" numFmtId="0">
      <sharedItems containsBlank="1" count="6">
        <s v="G01"/>
        <s v="C"/>
        <s v=""/>
        <s v="B"/>
        <m u="1"/>
        <s v="G02" u="1"/>
      </sharedItems>
    </cacheField>
    <cacheField name="Last Stock" numFmtId="3">
      <sharedItems containsSemiMixedTypes="0" containsString="0" containsNumber="1" containsInteger="1" minValue="0" maxValue="1614"/>
    </cacheField>
    <cacheField name="[WT]Last Stock" numFmtId="166">
      <sharedItems containsSemiMixedTypes="0" containsString="0" containsNumber="1" containsInteger="1" minValue="0" maxValue="952260"/>
    </cacheField>
    <cacheField name="GR" numFmtId="3">
      <sharedItems containsSemiMixedTypes="0" containsString="0" containsNumber="1" containsInteger="1" minValue="0" maxValue="4185"/>
    </cacheField>
    <cacheField name="[WT]GR" numFmtId="166">
      <sharedItems containsSemiMixedTypes="0" containsString="0" containsNumber="1" containsInteger="1" minValue="0" maxValue="2469150"/>
    </cacheField>
    <cacheField name="RW.GR" numFmtId="3">
      <sharedItems containsSemiMixedTypes="0" containsString="0" containsNumber="1" containsInteger="1" minValue="0" maxValue="0"/>
    </cacheField>
    <cacheField name="[WT]RW.GR" numFmtId="166">
      <sharedItems containsSemiMixedTypes="0" containsString="0" containsNumber="1" containsInteger="1" minValue="0" maxValue="0"/>
    </cacheField>
    <cacheField name="Tr.GR" numFmtId="3">
      <sharedItems containsSemiMixedTypes="0" containsString="0" containsNumber="1" containsInteger="1" minValue="0" maxValue="0"/>
    </cacheField>
    <cacheField name="[WT]Tr.GR" numFmtId="166">
      <sharedItems containsSemiMixedTypes="0" containsString="0" containsNumber="1" containsInteger="1" minValue="0" maxValue="0"/>
    </cacheField>
    <cacheField name="Etc.GR" numFmtId="3">
      <sharedItems containsSemiMixedTypes="0" containsString="0" containsNumber="1" containsInteger="1" minValue="0" maxValue="0"/>
    </cacheField>
    <cacheField name="[WT]Etc.GR" numFmtId="166">
      <sharedItems containsSemiMixedTypes="0" containsString="0" containsNumber="1" containsInteger="1" minValue="0" maxValue="0"/>
    </cacheField>
    <cacheField name="STO.GR" numFmtId="3">
      <sharedItems containsSemiMixedTypes="0" containsString="0" containsNumber="1" containsInteger="1" minValue="0" maxValue="0"/>
    </cacheField>
    <cacheField name="[WT]STO.GR" numFmtId="166">
      <sharedItems containsSemiMixedTypes="0" containsString="0" containsNumber="1" containsInteger="1" minValue="0" maxValue="0"/>
    </cacheField>
    <cacheField name="Sum.GR" numFmtId="3">
      <sharedItems containsSemiMixedTypes="0" containsString="0" containsNumber="1" containsInteger="1" minValue="0" maxValue="4185"/>
    </cacheField>
    <cacheField name="[WT]Sum.GR" numFmtId="166">
      <sharedItems containsSemiMixedTypes="0" containsString="0" containsNumber="1" containsInteger="1" minValue="0" maxValue="2469150"/>
    </cacheField>
    <cacheField name="GI" numFmtId="3">
      <sharedItems containsSemiMixedTypes="0" containsString="0" containsNumber="1" containsInteger="1" minValue="0" maxValue="4185"/>
    </cacheField>
    <cacheField name="[WT]GI" numFmtId="166">
      <sharedItems containsSemiMixedTypes="0" containsString="0" containsNumber="1" containsInteger="1" minValue="0" maxValue="0"/>
    </cacheField>
    <cacheField name="GI for SD" numFmtId="3">
      <sharedItems containsSemiMixedTypes="0" containsString="0" containsNumber="1" containsInteger="1" minValue="0" maxValue="0"/>
    </cacheField>
    <cacheField name="[WT]GI for SD" numFmtId="166">
      <sharedItems containsSemiMixedTypes="0" containsString="0" containsNumber="1" containsInteger="1" minValue="0" maxValue="0"/>
    </cacheField>
    <cacheField name="Gi Backlog" numFmtId="3">
      <sharedItems containsSemiMixedTypes="0" containsString="0" containsNumber="1" containsInteger="1" minValue="0" maxValue="0"/>
    </cacheField>
    <cacheField name="[WT]GI Backlog" numFmtId="166">
      <sharedItems containsSemiMixedTypes="0" containsString="0" containsNumber="1" containsInteger="1" minValue="0" maxValue="0"/>
    </cacheField>
    <cacheField name="GI for Downstream" numFmtId="3">
      <sharedItems containsSemiMixedTypes="0" containsString="0" containsNumber="1" containsInteger="1" minValue="0" maxValue="0"/>
    </cacheField>
    <cacheField name="[WT]GI for DS" numFmtId="166">
      <sharedItems containsSemiMixedTypes="0" containsString="0" containsNumber="1" containsInteger="1" minValue="0" maxValue="0"/>
    </cacheField>
    <cacheField name="Tr.GI" numFmtId="3">
      <sharedItems containsSemiMixedTypes="0" containsString="0" containsNumber="1" containsInteger="1" minValue="0" maxValue="3999"/>
    </cacheField>
    <cacheField name="[WT]Tr.GI" numFmtId="166">
      <sharedItems containsSemiMixedTypes="0" containsString="0" containsNumber="1" containsInteger="1" minValue="0" maxValue="2359410"/>
    </cacheField>
    <cacheField name="Etc.GI" numFmtId="3">
      <sharedItems containsSemiMixedTypes="0" containsString="0" containsNumber="1" containsInteger="1" minValue="0" maxValue="0"/>
    </cacheField>
    <cacheField name="[WT]Etc.GI" numFmtId="166">
      <sharedItems containsSemiMixedTypes="0" containsString="0" containsNumber="1" containsInteger="1" minValue="0" maxValue="0"/>
    </cacheField>
    <cacheField name="STO.GI" numFmtId="3">
      <sharedItems containsSemiMixedTypes="0" containsString="0" containsNumber="1" containsInteger="1" minValue="0" maxValue="0"/>
    </cacheField>
    <cacheField name="[WT]STO.GI" numFmtId="166">
      <sharedItems containsSemiMixedTypes="0" containsString="0" containsNumber="1" containsInteger="1" minValue="0" maxValue="0"/>
    </cacheField>
    <cacheField name="Sum.GI" numFmtId="3">
      <sharedItems containsSemiMixedTypes="0" containsString="0" containsNumber="1" containsInteger="1" minValue="0" maxValue="4185"/>
    </cacheField>
    <cacheField name="[WT]Sum.GI" numFmtId="166">
      <sharedItems containsSemiMixedTypes="0" containsString="0" containsNumber="1" containsInteger="1" minValue="0" maxValue="2359410"/>
    </cacheField>
    <cacheField name="Sum.Total" numFmtId="3">
      <sharedItems containsSemiMixedTypes="0" containsString="0" containsNumber="1" containsInteger="1" minValue="0" maxValue="1800"/>
    </cacheField>
    <cacheField name="[WT]Sum.Total" numFmtId="166">
      <sharedItems containsSemiMixedTypes="0" containsString="0" containsNumber="1" containsInteger="1" minValue="0" maxValue="1062000"/>
    </cacheField>
    <cacheField name="Base Unit of Measure" numFmtId="0">
      <sharedItems/>
    </cacheField>
    <cacheField name="Base Unit of Measure2" numFmtId="0">
      <sharedItems/>
    </cacheField>
    <cacheField name="Type" numFmtId="0">
      <sharedItems/>
    </cacheField>
    <cacheField name="Material Code" numFmtId="0">
      <sharedItems count="11">
        <s v="MD06G1103-074"/>
        <s v="MD06G1103-090"/>
        <s v="MD06G1103-091"/>
        <s v="MD06G1103-093"/>
        <s v="MD06G1103-096"/>
        <s v="MD06G1103-098"/>
        <s v="MD06G1103-101"/>
        <s v="MD06G1103-103"/>
        <s v="MD06G1203-003"/>
        <s v="MD06G1207-001"/>
        <s v="MD06G1207-002"/>
      </sharedItems>
    </cacheField>
    <cacheField name="PCS" numFmtId="0">
      <sharedItems containsMixedTypes="1" containsNumber="1" containsInteger="1" minValue="0" maxValue="4185"/>
    </cacheField>
    <cacheField name="MW" numFmtId="0" formula="'[WT]GR'/1000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ZMDL"/>
    <s v="PFN1"/>
    <s v="MD06G1103-074-0590"/>
    <s v="Q.PEAK DUO XL-G11S.3/590/BFG/X/074"/>
    <x v="0"/>
    <x v="0"/>
    <n v="155"/>
    <n v="91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"/>
    <n v="91450"/>
    <s v="PCS"/>
    <s v="WT"/>
    <s v="G11"/>
    <x v="0"/>
    <n v="0"/>
  </r>
  <r>
    <s v="ZMDL"/>
    <s v="PFN1"/>
    <s v="MD06G1103-074-0590"/>
    <s v="Q.PEAK DUO XL-G11S.3/590/BFG/X/074"/>
    <x v="0"/>
    <x v="1"/>
    <n v="29"/>
    <n v="17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7110"/>
    <s v="PCS"/>
    <s v="WT"/>
    <s v="G11"/>
    <x v="0"/>
    <n v="0"/>
  </r>
  <r>
    <s v="ZMDL"/>
    <s v="PFN1"/>
    <s v="MD06G1103-074-0595"/>
    <s v="Q.PEAK DUO XL-G11S.3/595/BFG/X/074"/>
    <x v="1"/>
    <x v="1"/>
    <n v="3"/>
    <n v="17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785"/>
    <s v="PCS"/>
    <s v="WT"/>
    <s v="G11"/>
    <x v="0"/>
    <n v="0"/>
  </r>
  <r>
    <s v="ZMDL"/>
    <s v="PFN1"/>
    <s v="MD06G1103-090-0585"/>
    <s v="Q.PEAK DUO XL-G11S.3/585/BFG/X/090"/>
    <x v="2"/>
    <x v="0"/>
    <n v="31"/>
    <n v="18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8135"/>
    <s v="PCS"/>
    <s v="WT"/>
    <s v="G11"/>
    <x v="1"/>
    <n v="0"/>
  </r>
  <r>
    <s v="ZMDL"/>
    <s v="PFN1"/>
    <s v="MD06G1103-090-0590"/>
    <s v="Q.PEAK DUO XL-G11S.3/590/BFG/X/090"/>
    <x v="0"/>
    <x v="0"/>
    <n v="108"/>
    <n v="63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n v="63720"/>
    <s v="PCS"/>
    <s v="WT"/>
    <s v="G11"/>
    <x v="1"/>
    <n v="0"/>
  </r>
  <r>
    <s v="ZMDL"/>
    <s v="PFN1"/>
    <s v="MD06G1103-090-0590"/>
    <s v="Q.PEAK DUO XL-G11S.3/590/BFG/X/090"/>
    <x v="0"/>
    <x v="1"/>
    <n v="11"/>
    <n v="6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490"/>
    <s v="PCS"/>
    <s v="WT"/>
    <s v="G11"/>
    <x v="1"/>
    <n v="0"/>
  </r>
  <r>
    <s v="ZMDL"/>
    <s v="PFN1"/>
    <s v="MD06G1103-090-0595"/>
    <s v="Q.PEAK DUO XL-G11S.3/595/BFG/X/090"/>
    <x v="1"/>
    <x v="1"/>
    <n v="20"/>
    <n v="1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1900"/>
    <s v="PCS"/>
    <s v="WT"/>
    <s v="G11"/>
    <x v="1"/>
    <n v="0"/>
  </r>
  <r>
    <s v="ZMDL"/>
    <s v="PFN1"/>
    <s v="MD06G1103-091-0590"/>
    <s v="Q.PEAK DUO XL-G11S.3/590/BFG/X/091"/>
    <x v="0"/>
    <x v="0"/>
    <n v="18"/>
    <n v="10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0620"/>
    <s v="PCS"/>
    <s v="WT"/>
    <s v="G11"/>
    <x v="2"/>
    <n v="0"/>
  </r>
  <r>
    <s v="ZMDL"/>
    <s v="PFN1"/>
    <s v="MD06G1103-093-0590"/>
    <s v="Q.PEAK DUO XL-G11S.3/590/BFG/C/093"/>
    <x v="0"/>
    <x v="0"/>
    <n v="5"/>
    <n v="29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950"/>
    <s v="PCS"/>
    <s v="WT"/>
    <s v="G11"/>
    <x v="3"/>
    <n v="0"/>
  </r>
  <r>
    <s v="ZMDL"/>
    <s v="PFN1"/>
    <s v="MD06G1103-096-0590"/>
    <s v="Q.PEAK DUO XL-G11S.3/590/DCA/BFG/C/096"/>
    <x v="0"/>
    <x v="0"/>
    <n v="1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90"/>
    <s v="PCS"/>
    <s v="WT"/>
    <s v="G11"/>
    <x v="4"/>
    <n v="0"/>
  </r>
  <r>
    <s v="ZMDL"/>
    <s v="PFN1"/>
    <s v="MD06G1103-098-0590"/>
    <s v="Q.PEAK DUO XL-G11S.3/590/DCA.B/BFG/C/098"/>
    <x v="0"/>
    <x v="0"/>
    <n v="2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180"/>
    <s v="PCS"/>
    <s v="WT"/>
    <s v="G11"/>
    <x v="5"/>
    <n v="0"/>
  </r>
  <r>
    <s v="ZMDL"/>
    <s v="PFN1"/>
    <s v="MD06G1103-098-0590"/>
    <s v="Q.PEAK DUO XL-G11S.3/590/DCA.B/BFG/C/098"/>
    <x v="0"/>
    <x v="1"/>
    <n v="1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90"/>
    <n v="0"/>
    <n v="0"/>
    <n v="0"/>
    <n v="0"/>
    <n v="1"/>
    <n v="590"/>
    <n v="0"/>
    <n v="0"/>
    <s v="PCS"/>
    <s v="WT"/>
    <s v="G11"/>
    <x v="5"/>
    <n v="0"/>
  </r>
  <r>
    <s v="ZBOM"/>
    <s v="PFN1"/>
    <s v="MD06G1103-101"/>
    <s v="Q.PEAK DUO XL-G11S.3/DCA.L(T)/BFG/C/101"/>
    <x v="3"/>
    <x v="2"/>
    <n v="0"/>
    <n v="0"/>
    <n v="4185"/>
    <n v="0"/>
    <n v="0"/>
    <n v="0"/>
    <n v="0"/>
    <n v="0"/>
    <n v="0"/>
    <n v="0"/>
    <n v="0"/>
    <n v="0"/>
    <n v="4185"/>
    <n v="0"/>
    <n v="4185"/>
    <n v="0"/>
    <n v="0"/>
    <n v="0"/>
    <n v="0"/>
    <n v="0"/>
    <n v="0"/>
    <n v="0"/>
    <n v="0"/>
    <n v="0"/>
    <n v="0"/>
    <n v="0"/>
    <n v="0"/>
    <n v="0"/>
    <n v="4185"/>
    <n v="0"/>
    <n v="0"/>
    <n v="0"/>
    <s v="PCS"/>
    <s v="WT"/>
    <s v="G11"/>
    <x v="6"/>
    <e v="#VALUE!"/>
  </r>
  <r>
    <s v="ZMDL"/>
    <s v="PFN1"/>
    <s v="MD06G1103-101-0590"/>
    <s v="Q.PEAK DUO XL-G11S.3/590/DCA.L(T)/BFG/C/"/>
    <x v="0"/>
    <x v="0"/>
    <n v="1614"/>
    <n v="952260"/>
    <n v="4185"/>
    <n v="2469150"/>
    <n v="0"/>
    <n v="0"/>
    <n v="0"/>
    <n v="0"/>
    <n v="0"/>
    <n v="0"/>
    <n v="0"/>
    <n v="0"/>
    <n v="4185"/>
    <n v="2469150"/>
    <n v="0"/>
    <n v="0"/>
    <n v="0"/>
    <n v="0"/>
    <n v="0"/>
    <n v="0"/>
    <n v="0"/>
    <n v="0"/>
    <n v="3999"/>
    <n v="2359410"/>
    <n v="0"/>
    <n v="0"/>
    <n v="0"/>
    <n v="0"/>
    <n v="3999"/>
    <n v="2359410"/>
    <n v="1800"/>
    <n v="1062000"/>
    <s v="PCS"/>
    <s v="WT"/>
    <s v="G11"/>
    <x v="6"/>
    <n v="4185"/>
  </r>
  <r>
    <s v="ZMDL"/>
    <s v="PFN1"/>
    <s v="MD06G1103-101-0590"/>
    <s v="Q.PEAK DUO XL-G11S.3/590/DCA.L(T)/BFG/C/"/>
    <x v="0"/>
    <x v="1"/>
    <n v="56"/>
    <n v="33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4750"/>
    <n v="0"/>
    <n v="0"/>
    <n v="0"/>
    <n v="0"/>
    <n v="25"/>
    <n v="14750"/>
    <n v="31"/>
    <n v="18290"/>
    <s v="PCS"/>
    <s v="WT"/>
    <s v="G11"/>
    <x v="6"/>
    <n v="0"/>
  </r>
  <r>
    <s v="ZMDL"/>
    <s v="PFN1"/>
    <s v="MD06G1103-101-0595"/>
    <s v="Q.PEAK DUO XL-G11S.3/595/DCA.L(T)/BFG/C/"/>
    <x v="1"/>
    <x v="1"/>
    <n v="2"/>
    <n v="1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190"/>
    <s v="PCS"/>
    <s v="WT"/>
    <s v="G11"/>
    <x v="6"/>
    <n v="0"/>
  </r>
  <r>
    <s v="ZBOM"/>
    <s v="PFN1"/>
    <s v="MD06G1103-103"/>
    <s v="Q.PEAK DUO XL-G11S.3/BFG/C/103"/>
    <x v="3"/>
    <x v="2"/>
    <n v="0"/>
    <n v="0"/>
    <n v="31"/>
    <n v="0"/>
    <n v="0"/>
    <n v="0"/>
    <n v="0"/>
    <n v="0"/>
    <n v="0"/>
    <n v="0"/>
    <n v="0"/>
    <n v="0"/>
    <n v="31"/>
    <n v="0"/>
    <n v="31"/>
    <n v="0"/>
    <n v="0"/>
    <n v="0"/>
    <n v="0"/>
    <n v="0"/>
    <n v="0"/>
    <n v="0"/>
    <n v="0"/>
    <n v="0"/>
    <n v="0"/>
    <n v="0"/>
    <n v="0"/>
    <n v="0"/>
    <n v="31"/>
    <n v="0"/>
    <n v="0"/>
    <n v="0"/>
    <s v="PCS"/>
    <s v="WT"/>
    <s v="G11"/>
    <x v="7"/>
    <e v="#VALUE!"/>
  </r>
  <r>
    <s v="ZMDL"/>
    <s v="PFN1"/>
    <s v="MD06G1103-103-0590"/>
    <s v="Q.PEAK DUO XL-G11S.3/590/BFG/C/103"/>
    <x v="0"/>
    <x v="0"/>
    <n v="0"/>
    <n v="0"/>
    <n v="31"/>
    <n v="18290"/>
    <n v="0"/>
    <n v="0"/>
    <n v="0"/>
    <n v="0"/>
    <n v="0"/>
    <n v="0"/>
    <n v="0"/>
    <n v="0"/>
    <n v="31"/>
    <n v="18290"/>
    <n v="0"/>
    <n v="0"/>
    <n v="0"/>
    <n v="0"/>
    <n v="0"/>
    <n v="0"/>
    <n v="0"/>
    <n v="0"/>
    <n v="31"/>
    <n v="18290"/>
    <n v="0"/>
    <n v="0"/>
    <n v="0"/>
    <n v="0"/>
    <n v="31"/>
    <n v="18290"/>
    <n v="0"/>
    <n v="0"/>
    <s v="PCS"/>
    <s v="WT"/>
    <s v="G11"/>
    <x v="7"/>
    <n v="31"/>
  </r>
  <r>
    <s v="ZMDL"/>
    <s v="PFN1"/>
    <s v="MD06G1103-103-0590"/>
    <s v="Q.PEAK DUO XL-G11S.3/590/BFG/C/103"/>
    <x v="0"/>
    <x v="1"/>
    <n v="4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360"/>
    <n v="0"/>
    <n v="0"/>
    <n v="0"/>
    <n v="0"/>
    <n v="4"/>
    <n v="2360"/>
    <n v="0"/>
    <n v="0"/>
    <s v="PCS"/>
    <s v="WT"/>
    <s v="G11"/>
    <x v="7"/>
    <n v="0"/>
  </r>
  <r>
    <s v="ZMDL"/>
    <s v="PFN1"/>
    <s v="MD06G1103-103-0595"/>
    <s v="Q.PEAK DUO XL-G11S.3/595/BFG/C/103"/>
    <x v="1"/>
    <x v="1"/>
    <n v="1"/>
    <n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95"/>
    <n v="0"/>
    <n v="0"/>
    <n v="0"/>
    <n v="0"/>
    <n v="1"/>
    <n v="595"/>
    <n v="0"/>
    <n v="0"/>
    <s v="PCS"/>
    <s v="WT"/>
    <s v="G11"/>
    <x v="7"/>
    <n v="0"/>
  </r>
  <r>
    <s v="ZBOM"/>
    <s v="PFN1"/>
    <s v="MD06G1203-003"/>
    <s v="Q.PEAK DUO ML-G12S.3/DCA/BFG/X/003"/>
    <x v="3"/>
    <x v="2"/>
    <n v="0"/>
    <n v="0"/>
    <n v="3224"/>
    <n v="0"/>
    <n v="0"/>
    <n v="0"/>
    <n v="0"/>
    <n v="0"/>
    <n v="0"/>
    <n v="0"/>
    <n v="0"/>
    <n v="0"/>
    <n v="3224"/>
    <n v="0"/>
    <n v="3224"/>
    <n v="0"/>
    <n v="0"/>
    <n v="0"/>
    <n v="0"/>
    <n v="0"/>
    <n v="0"/>
    <n v="0"/>
    <n v="0"/>
    <n v="0"/>
    <n v="0"/>
    <n v="0"/>
    <n v="0"/>
    <n v="0"/>
    <n v="3224"/>
    <n v="0"/>
    <n v="0"/>
    <n v="0"/>
    <s v="PCS"/>
    <s v="WT"/>
    <s v=""/>
    <x v="8"/>
    <e v="#VALUE!"/>
  </r>
  <r>
    <s v="ZMDL"/>
    <s v="PFN1"/>
    <s v="MD06G1203-003-0650"/>
    <s v="Q.PEAK DUO ML-G12S.3/650/DCA/BFG/X/003"/>
    <x v="4"/>
    <x v="0"/>
    <n v="31"/>
    <n v="20150"/>
    <n v="465"/>
    <n v="302250"/>
    <n v="0"/>
    <n v="0"/>
    <n v="0"/>
    <n v="0"/>
    <n v="0"/>
    <n v="0"/>
    <n v="0"/>
    <n v="0"/>
    <n v="465"/>
    <n v="302250"/>
    <n v="0"/>
    <n v="0"/>
    <n v="0"/>
    <n v="0"/>
    <n v="0"/>
    <n v="0"/>
    <n v="0"/>
    <n v="0"/>
    <n v="310"/>
    <n v="201500"/>
    <n v="0"/>
    <n v="0"/>
    <n v="0"/>
    <n v="0"/>
    <n v="310"/>
    <n v="201500"/>
    <n v="186"/>
    <n v="120900"/>
    <s v="PCS"/>
    <s v="WT"/>
    <s v=""/>
    <x v="8"/>
    <n v="465"/>
  </r>
  <r>
    <s v="ZMDL"/>
    <s v="PFN1"/>
    <s v="MD06G1203-003-0650"/>
    <s v="Q.PEAK DUO ML-G12S.3/650/DCA/BFG/X/003"/>
    <x v="4"/>
    <x v="1"/>
    <n v="7"/>
    <n v="4550"/>
    <n v="31"/>
    <n v="20150"/>
    <n v="0"/>
    <n v="0"/>
    <n v="0"/>
    <n v="0"/>
    <n v="0"/>
    <n v="0"/>
    <n v="0"/>
    <n v="0"/>
    <n v="31"/>
    <n v="20150"/>
    <n v="0"/>
    <n v="0"/>
    <n v="0"/>
    <n v="0"/>
    <n v="0"/>
    <n v="0"/>
    <n v="0"/>
    <n v="0"/>
    <n v="20"/>
    <n v="13000"/>
    <n v="0"/>
    <n v="0"/>
    <n v="0"/>
    <n v="0"/>
    <n v="20"/>
    <n v="13000"/>
    <n v="18"/>
    <n v="11700"/>
    <s v="PCS"/>
    <s v="WT"/>
    <s v=""/>
    <x v="8"/>
    <n v="31"/>
  </r>
  <r>
    <s v="ZMDL"/>
    <s v="PFN1"/>
    <s v="MD06G1203-003-0655"/>
    <s v="Q.PEAK DUO ML-G12S.3/655/DCA/BFG/X/003"/>
    <x v="5"/>
    <x v="0"/>
    <n v="1364"/>
    <n v="893420"/>
    <n v="2604"/>
    <n v="1705620"/>
    <n v="0"/>
    <n v="0"/>
    <n v="0"/>
    <n v="0"/>
    <n v="0"/>
    <n v="0"/>
    <n v="0"/>
    <n v="0"/>
    <n v="2604"/>
    <n v="1705620"/>
    <n v="0"/>
    <n v="0"/>
    <n v="0"/>
    <n v="0"/>
    <n v="0"/>
    <n v="0"/>
    <n v="0"/>
    <n v="0"/>
    <n v="2852"/>
    <n v="1868060"/>
    <n v="0"/>
    <n v="0"/>
    <n v="0"/>
    <n v="0"/>
    <n v="2852"/>
    <n v="1868060"/>
    <n v="1116"/>
    <n v="730980"/>
    <s v="PCS"/>
    <s v="WT"/>
    <s v=""/>
    <x v="8"/>
    <n v="2604"/>
  </r>
  <r>
    <s v="ZMDL"/>
    <s v="PFN1"/>
    <s v="MD06G1203-003-0655"/>
    <s v="Q.PEAK DUO ML-G12S.3/655/DCA/BFG/X/003"/>
    <x v="5"/>
    <x v="1"/>
    <n v="52"/>
    <n v="34060"/>
    <n v="122"/>
    <n v="79910"/>
    <n v="0"/>
    <n v="0"/>
    <n v="0"/>
    <n v="0"/>
    <n v="0"/>
    <n v="0"/>
    <n v="0"/>
    <n v="0"/>
    <n v="122"/>
    <n v="79910"/>
    <n v="0"/>
    <n v="0"/>
    <n v="0"/>
    <n v="0"/>
    <n v="0"/>
    <n v="0"/>
    <n v="0"/>
    <n v="0"/>
    <n v="98"/>
    <n v="64190"/>
    <n v="0"/>
    <n v="0"/>
    <n v="0"/>
    <n v="0"/>
    <n v="98"/>
    <n v="64190"/>
    <n v="76"/>
    <n v="49780"/>
    <s v="PCS"/>
    <s v="WT"/>
    <s v=""/>
    <x v="8"/>
    <n v="122"/>
  </r>
  <r>
    <s v="ZMDL"/>
    <s v="PFN1"/>
    <s v="MD06G1203-003-0660"/>
    <s v="Q.PEAK DUO ML-G12S.3/660/DCA/BFG/X/003"/>
    <x v="6"/>
    <x v="0"/>
    <n v="93"/>
    <n v="61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61380"/>
    <n v="0"/>
    <n v="0"/>
    <n v="0"/>
    <n v="0"/>
    <n v="93"/>
    <n v="61380"/>
    <n v="0"/>
    <n v="0"/>
    <s v="PCS"/>
    <s v="WT"/>
    <s v=""/>
    <x v="8"/>
    <n v="0"/>
  </r>
  <r>
    <s v="ZMDL"/>
    <s v="PFN1"/>
    <s v="MD06G1203-003-0660"/>
    <s v="Q.PEAK DUO ML-G12S.3/660/DCA/BFG/X/003"/>
    <x v="6"/>
    <x v="1"/>
    <n v="5"/>
    <n v="3300"/>
    <n v="2"/>
    <n v="1320"/>
    <n v="0"/>
    <n v="0"/>
    <n v="0"/>
    <n v="0"/>
    <n v="0"/>
    <n v="0"/>
    <n v="0"/>
    <n v="0"/>
    <n v="2"/>
    <n v="1320"/>
    <n v="0"/>
    <n v="0"/>
    <n v="0"/>
    <n v="0"/>
    <n v="0"/>
    <n v="0"/>
    <n v="0"/>
    <n v="0"/>
    <n v="6"/>
    <n v="3960"/>
    <n v="0"/>
    <n v="0"/>
    <n v="0"/>
    <n v="0"/>
    <n v="6"/>
    <n v="3960"/>
    <n v="1"/>
    <n v="660"/>
    <s v="PCS"/>
    <s v="WT"/>
    <s v=""/>
    <x v="8"/>
    <n v="2"/>
  </r>
  <r>
    <s v="ZMDL"/>
    <s v="PFN1"/>
    <s v="MD06G1207-001-0660"/>
    <s v="Q.PEAK DUO ML-G12S.7/660/BFG/C/001"/>
    <x v="6"/>
    <x v="0"/>
    <n v="14"/>
    <n v="9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9240"/>
    <s v="PCS"/>
    <s v="WT"/>
    <s v="G12"/>
    <x v="9"/>
    <n v="0"/>
  </r>
  <r>
    <s v="ZMDL"/>
    <s v="PFN1"/>
    <s v="MD06G1207-001-0660"/>
    <s v="Q.PEAK DUO ML-G12S.7/660/BFG/C/001"/>
    <x v="6"/>
    <x v="3"/>
    <n v="8"/>
    <n v="5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280"/>
    <s v="PCS"/>
    <s v="WT"/>
    <s v="G12"/>
    <x v="9"/>
    <n v="0"/>
  </r>
  <r>
    <s v="ZMDL"/>
    <s v="PFN1"/>
    <s v="MD06G1207-001-0675"/>
    <s v="Q.PEAK DUO ML-G12S.7/675/BFG/C/001"/>
    <x v="7"/>
    <x v="0"/>
    <n v="3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025"/>
    <s v="PCS"/>
    <s v="WT"/>
    <s v="G12"/>
    <x v="9"/>
    <n v="0"/>
  </r>
  <r>
    <s v="ZMDL"/>
    <s v="PFN1"/>
    <s v="MD06G1207-002-0660"/>
    <s v="Q.PEAK DUO ML-G12S.7/660/DCA/BFG/C/002"/>
    <x v="6"/>
    <x v="0"/>
    <n v="83"/>
    <n v="54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54780"/>
    <s v="PCS"/>
    <s v="WT"/>
    <s v="G12"/>
    <x v="10"/>
    <n v="0"/>
  </r>
  <r>
    <s v="ZMDL"/>
    <s v="PFN1"/>
    <s v="MD06G1207-002-0660"/>
    <s v="Q.PEAK DUO ML-G12S.7/660/DCA/BFG/C/002"/>
    <x v="6"/>
    <x v="1"/>
    <n v="33"/>
    <n v="21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21780"/>
    <s v="PCS"/>
    <s v="WT"/>
    <s v="G12"/>
    <x v="1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66B1A-2E1C-4E39-B4FF-544CAE435C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2:C60" firstHeaderRow="0" firstDataRow="1" firstDataCol="1"/>
  <pivotFields count="44">
    <pivotField showAll="0"/>
    <pivotField showAll="0"/>
    <pivotField showAll="0"/>
    <pivotField showAll="0"/>
    <pivotField axis="axisRow" showAll="0">
      <items count="16">
        <item m="1" x="9"/>
        <item m="1" x="12"/>
        <item m="1" x="14"/>
        <item m="1" x="10"/>
        <item m="1" x="8"/>
        <item m="1" x="11"/>
        <item m="1" x="13"/>
        <item x="2"/>
        <item x="0"/>
        <item x="1"/>
        <item x="3"/>
        <item x="4"/>
        <item x="5"/>
        <item x="6"/>
        <item x="7"/>
        <item t="default"/>
      </items>
    </pivotField>
    <pivotField axis="axisRow" showAll="0">
      <items count="7">
        <item h="1" m="1" x="4"/>
        <item x="0"/>
        <item m="1" x="5"/>
        <item x="1"/>
        <item h="1" x="3"/>
        <item h="1" x="2"/>
        <item t="default"/>
      </items>
    </pivotField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numFmtId="3" showAll="0"/>
    <pivotField numFmtId="166"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7"/>
        <item x="6"/>
        <item x="8"/>
        <item x="10"/>
        <item x="9"/>
        <item t="default"/>
      </items>
    </pivotField>
    <pivotField dataField="1" showAll="0"/>
    <pivotField dataField="1" dragToRow="0" dragToCol="0" dragToPage="0" showAll="0" defaultSubtotal="0"/>
  </pivotFields>
  <rowFields count="3">
    <field x="41"/>
    <field x="5"/>
    <field x="4"/>
  </rowFields>
  <rowItems count="58">
    <i>
      <x/>
    </i>
    <i r="1">
      <x v="1"/>
    </i>
    <i r="2">
      <x v="8"/>
    </i>
    <i r="1">
      <x v="3"/>
    </i>
    <i r="2">
      <x v="8"/>
    </i>
    <i r="2">
      <x v="9"/>
    </i>
    <i>
      <x v="1"/>
    </i>
    <i r="1">
      <x v="1"/>
    </i>
    <i r="2">
      <x v="7"/>
    </i>
    <i r="2">
      <x v="8"/>
    </i>
    <i r="1">
      <x v="3"/>
    </i>
    <i r="2">
      <x v="8"/>
    </i>
    <i r="2">
      <x v="9"/>
    </i>
    <i>
      <x v="2"/>
    </i>
    <i r="1">
      <x v="1"/>
    </i>
    <i r="2">
      <x v="8"/>
    </i>
    <i>
      <x v="3"/>
    </i>
    <i r="1">
      <x v="1"/>
    </i>
    <i r="2">
      <x v="8"/>
    </i>
    <i>
      <x v="4"/>
    </i>
    <i r="1">
      <x v="1"/>
    </i>
    <i r="2">
      <x v="8"/>
    </i>
    <i>
      <x v="5"/>
    </i>
    <i r="1">
      <x v="1"/>
    </i>
    <i r="2">
      <x v="8"/>
    </i>
    <i r="1">
      <x v="3"/>
    </i>
    <i r="2">
      <x v="8"/>
    </i>
    <i>
      <x v="6"/>
    </i>
    <i r="1">
      <x v="1"/>
    </i>
    <i r="2">
      <x v="8"/>
    </i>
    <i r="1">
      <x v="3"/>
    </i>
    <i r="2">
      <x v="8"/>
    </i>
    <i r="2">
      <x v="9"/>
    </i>
    <i>
      <x v="7"/>
    </i>
    <i r="1">
      <x v="1"/>
    </i>
    <i r="2">
      <x v="8"/>
    </i>
    <i r="1">
      <x v="3"/>
    </i>
    <i r="2">
      <x v="8"/>
    </i>
    <i r="2">
      <x v="9"/>
    </i>
    <i>
      <x v="8"/>
    </i>
    <i r="1">
      <x v="1"/>
    </i>
    <i r="2">
      <x v="11"/>
    </i>
    <i r="2">
      <x v="12"/>
    </i>
    <i r="2">
      <x v="13"/>
    </i>
    <i r="1">
      <x v="3"/>
    </i>
    <i r="2">
      <x v="11"/>
    </i>
    <i r="2">
      <x v="12"/>
    </i>
    <i r="2">
      <x v="13"/>
    </i>
    <i>
      <x v="9"/>
    </i>
    <i r="1">
      <x v="1"/>
    </i>
    <i r="2">
      <x v="13"/>
    </i>
    <i r="1">
      <x v="3"/>
    </i>
    <i r="2">
      <x v="13"/>
    </i>
    <i>
      <x v="10"/>
    </i>
    <i r="1">
      <x v="1"/>
    </i>
    <i r="2">
      <x v="13"/>
    </i>
    <i r="2"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 MW" fld="43" baseField="4" baseItem="3" numFmtId="167"/>
    <dataField name=" PCS" fld="42" baseField="5" baseItem="2" numFmtId="164"/>
  </dataFields>
  <formats count="31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5" type="button" dataOnly="0" labelOnly="1" outline="0" axis="axisRow" fieldPosition="1"/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5" type="button" dataOnly="0" labelOnly="1" outline="0" axis="axisRow" fieldPosition="1"/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5" type="button" dataOnly="0" labelOnly="1" outline="0" axis="axisRow" fieldPosition="1"/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5">
      <pivotArea collapsedLevelsAreSubtotals="1" fieldPosition="0">
        <references count="1">
          <reference field="41" count="1">
            <x v="5"/>
          </reference>
        </references>
      </pivotArea>
    </format>
    <format dxfId="74">
      <pivotArea collapsedLevelsAreSubtotals="1" fieldPosition="0">
        <references count="1">
          <reference field="41" count="1">
            <x v="7"/>
          </reference>
        </references>
      </pivotArea>
    </format>
    <format dxfId="73">
      <pivotArea collapsedLevelsAreSubtotals="1" fieldPosition="0">
        <references count="1">
          <reference field="41" count="1">
            <x v="6"/>
          </reference>
        </references>
      </pivotArea>
    </format>
    <format dxfId="72">
      <pivotArea collapsedLevelsAreSubtotals="1" fieldPosition="0">
        <references count="1">
          <reference field="41" count="1">
            <x v="8"/>
          </reference>
        </references>
      </pivotArea>
    </format>
    <format dxfId="71">
      <pivotArea collapsedLevelsAreSubtotals="1" fieldPosition="0">
        <references count="1">
          <reference field="41" count="1">
            <x v="9"/>
          </reference>
        </references>
      </pivotArea>
    </format>
    <format dxfId="70">
      <pivotArea collapsedLevelsAreSubtotals="1" fieldPosition="0">
        <references count="1">
          <reference field="41" count="1">
            <x v="10"/>
          </reference>
        </references>
      </pivotArea>
    </format>
    <format dxfId="69">
      <pivotArea grandRow="1" outline="0" collapsedLevelsAreSubtotals="1" fieldPosition="0"/>
    </format>
    <format dxfId="68">
      <pivotArea dataOnly="0" labelOnly="1" fieldPosition="0">
        <references count="1">
          <reference field="41" count="6">
            <x v="5"/>
            <x v="6"/>
            <x v="7"/>
            <x v="8"/>
            <x v="9"/>
            <x v="10"/>
          </reference>
        </references>
      </pivotArea>
    </format>
    <format dxfId="67">
      <pivotArea dataOnly="0" labelOnly="1" grandRow="1" outline="0" fieldPosition="0"/>
    </format>
    <format dxfId="66">
      <pivotArea collapsedLevelsAreSubtotals="1" fieldPosition="0">
        <references count="4">
          <reference field="4294967294" count="1" selected="0">
            <x v="0"/>
          </reference>
          <reference field="4" count="1">
            <x v="13"/>
          </reference>
          <reference field="5" count="1" selected="0">
            <x v="1"/>
          </reference>
          <reference field="41" count="1" selected="0">
            <x v="9"/>
          </reference>
        </references>
      </pivotArea>
    </format>
    <format dxfId="65">
      <pivotArea collapsedLevelsAreSubtotals="1" fieldPosition="0">
        <references count="4">
          <reference field="4294967294" count="1" selected="0">
            <x v="0"/>
          </reference>
          <reference field="4" count="3">
            <x v="11"/>
            <x v="12"/>
            <x v="13"/>
          </reference>
          <reference field="5" count="1" selected="0">
            <x v="1"/>
          </reference>
          <reference field="41" count="1" selected="0">
            <x v="8"/>
          </reference>
        </references>
      </pivotArea>
    </format>
    <format dxfId="64">
      <pivotArea collapsedLevelsAreSubtotals="1" fieldPosition="0">
        <references count="4">
          <reference field="4294967294" count="1" selected="0">
            <x v="0"/>
          </reference>
          <reference field="4" count="3">
            <x v="7"/>
            <x v="8"/>
            <x v="9"/>
          </reference>
          <reference field="5" count="1" selected="0">
            <x v="1"/>
          </reference>
          <reference field="41" count="1" selected="0">
            <x v="7"/>
          </reference>
        </references>
      </pivotArea>
    </format>
    <format dxfId="63">
      <pivotArea collapsedLevelsAreSubtotals="1" fieldPosition="0">
        <references count="4">
          <reference field="4294967294" count="1" selected="0">
            <x v="0"/>
          </reference>
          <reference field="4" count="2">
            <x v="8"/>
            <x v="9"/>
          </reference>
          <reference field="5" count="1" selected="0">
            <x v="1"/>
          </reference>
          <reference field="41" count="1" selected="0">
            <x v="6"/>
          </reference>
        </references>
      </pivotArea>
    </format>
    <format dxfId="62">
      <pivotArea collapsedLevelsAreSubtotals="1" fieldPosition="0">
        <references count="4">
          <reference field="4294967294" count="1" selected="0">
            <x v="0"/>
          </reference>
          <reference field="4" count="2">
            <x v="8"/>
            <x v="9"/>
          </reference>
          <reference field="5" count="1" selected="0">
            <x v="1"/>
          </reference>
          <reference field="41" count="1" selected="0">
            <x v="5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D6135A-0AFF-474A-A939-458E5D16DF0D}" name="Table13569" displayName="Table13569" ref="A1:AQ33" totalsRowShown="0" headerRowDxfId="139" dataDxfId="137" headerRowBorderDxfId="138" tableBorderDxfId="136">
  <tableColumns count="43">
    <tableColumn id="1" xr3:uid="{F9C73BCA-C16C-4D1A-890C-0CF7B6F58D4F}" name="Material type" dataDxfId="135"/>
    <tableColumn id="2" xr3:uid="{DF166225-366F-4424-A8BC-1A27534F9840}" name="Storage location" dataDxfId="134"/>
    <tableColumn id="3" xr3:uid="{87C1CAD4-0705-4C2A-9E32-473AF85E4C88}" name="Material" dataDxfId="133"/>
    <tableColumn id="4" xr3:uid="{17495904-6F48-4EA6-B46B-5A8382EC2547}" name="Material Description" dataDxfId="132"/>
    <tableColumn id="5" xr3:uid="{3D4186FA-7F4C-4D5B-A65A-FBF026D8BC80}" name="Efficiency(WT)" dataDxfId="131"/>
    <tableColumn id="6" xr3:uid="{94063641-1D66-47D1-8FDB-8D4EBDF1715A}" name="Qgrade" dataDxfId="130"/>
    <tableColumn id="7" xr3:uid="{941E318B-C305-476D-98C5-77BD79D4FB3A}" name="Last Stock" dataDxfId="129"/>
    <tableColumn id="8" xr3:uid="{EAB386D1-6767-4CCB-8C8C-B30E7709D9E7}" name="[WT]Last Stock" dataDxfId="128"/>
    <tableColumn id="9" xr3:uid="{A2AB528D-D7B5-4242-9F5A-6160722A67CB}" name="GR" dataDxfId="127"/>
    <tableColumn id="10" xr3:uid="{EB194742-BF86-4D74-A01D-8E53C5AFD345}" name="[WT]GR" dataDxfId="126"/>
    <tableColumn id="11" xr3:uid="{02D01E37-55CB-4AAE-B923-155AD0DA1AD3}" name="RW.GR" dataDxfId="125"/>
    <tableColumn id="12" xr3:uid="{A0C9E1AC-080A-49E4-9802-885025371FAC}" name="[WT]RW.GR" dataDxfId="124"/>
    <tableColumn id="13" xr3:uid="{ED6EB67A-F782-4DBF-AB6A-F7118A4C70BD}" name="Tr.GR" dataDxfId="123"/>
    <tableColumn id="14" xr3:uid="{BBA5B508-9969-4B08-BA08-5649B5DBDF33}" name="[WT]Tr.GR" dataDxfId="122"/>
    <tableColumn id="15" xr3:uid="{51A9ECD8-484E-4E0C-B8A6-4957EA8B287A}" name="Etc.GR" dataDxfId="121"/>
    <tableColumn id="16" xr3:uid="{D2FD3A94-C765-4E42-A206-E49B53C960E1}" name="[WT]Etc.GR" dataDxfId="120"/>
    <tableColumn id="17" xr3:uid="{F74072F3-CCBE-4C90-8CE6-F48CBB0E3BB1}" name="STO.GR" dataDxfId="119"/>
    <tableColumn id="18" xr3:uid="{39CF16F3-30CC-4588-B1C6-3B31AA52D818}" name="[WT]STO.GR" dataDxfId="118"/>
    <tableColumn id="19" xr3:uid="{33618608-156C-42B7-B580-F0914FA93430}" name="Sum.GR" dataDxfId="117"/>
    <tableColumn id="20" xr3:uid="{05CD35B3-AF21-46B3-BB31-2A3C1B7753D9}" name="[WT]Sum.GR" dataDxfId="116"/>
    <tableColumn id="21" xr3:uid="{C8A827E7-D979-4A8D-9836-C6C54DF0213A}" name="GI" dataDxfId="115"/>
    <tableColumn id="22" xr3:uid="{0B9778EE-5C5E-48CB-9342-93D1562DBE06}" name="[WT]GI" dataDxfId="114"/>
    <tableColumn id="23" xr3:uid="{0C32BAA9-B1D2-482E-896B-447CBDB95663}" name="GI for SD" dataDxfId="113"/>
    <tableColumn id="24" xr3:uid="{2F45E8B9-8BC2-4E2A-A412-6246C81510A8}" name="[WT]GI for SD" dataDxfId="112"/>
    <tableColumn id="25" xr3:uid="{5A106151-BE1F-4AB2-9D74-7DE5B6777E1E}" name="Gi Backlog" dataDxfId="111"/>
    <tableColumn id="26" xr3:uid="{06F2D9D9-45DA-4B7E-84CB-05F2A2801558}" name="[WT]GI Backlog" dataDxfId="110"/>
    <tableColumn id="27" xr3:uid="{C672554C-A733-44C3-BE65-4BEF8E59EF99}" name="GI for Downstream" dataDxfId="109"/>
    <tableColumn id="28" xr3:uid="{11C94837-26CC-4A7C-940D-DD060AED07C2}" name="[WT]GI for DS" dataDxfId="108"/>
    <tableColumn id="29" xr3:uid="{24DBFAD7-996D-4FD5-A9B0-EA141CDEDB72}" name="Tr.GI" dataDxfId="107"/>
    <tableColumn id="30" xr3:uid="{1255D0A5-D693-4C1D-8A85-A75D7D0AA222}" name="[WT]Tr.GI" dataDxfId="106"/>
    <tableColumn id="31" xr3:uid="{4BB47CF8-F32C-4646-B7E1-557DCCAB3253}" name="Etc.GI" dataDxfId="105"/>
    <tableColumn id="32" xr3:uid="{DEDD9795-C7D4-40A5-85A3-41900E96A491}" name="[WT]Etc.GI" dataDxfId="104"/>
    <tableColumn id="33" xr3:uid="{3840908C-1C21-48A7-86C3-D2893633DFA7}" name="STO.GI" dataDxfId="103"/>
    <tableColumn id="34" xr3:uid="{41F8C82A-97B1-4773-BFE2-EB5A7BE3AA41}" name="[WT]STO.GI" dataDxfId="102"/>
    <tableColumn id="35" xr3:uid="{55A2C6CD-CCB9-4320-B683-D6BCDD2959B3}" name="Sum.GI" dataDxfId="101"/>
    <tableColumn id="36" xr3:uid="{52EB8766-A912-41A6-88E4-1808F5EECF24}" name="[WT]Sum.GI" dataDxfId="100"/>
    <tableColumn id="37" xr3:uid="{7E773823-6662-4166-97E4-3A355A325654}" name="Sum.Total" dataDxfId="99"/>
    <tableColumn id="38" xr3:uid="{5B440528-7471-4175-9E0D-BD856D077042}" name="[WT]Sum.Total" dataDxfId="98"/>
    <tableColumn id="39" xr3:uid="{54647091-7E50-485B-A501-215061BA6D8A}" name="Base Unit of Measure" dataDxfId="97"/>
    <tableColumn id="40" xr3:uid="{A01D03A6-6DFC-46FF-8CD8-9CB182373938}" name="Base Unit of Measure2" dataDxfId="96"/>
    <tableColumn id="41" xr3:uid="{32E65810-C4EA-4658-9EA9-27E9475CD6BF}" name="Type" dataDxfId="95">
      <calculatedColumnFormula>IF(LEFT(Table13569[[#This Row],[Material]], 9) = "MD06G1103", "G11", IF(LEFT(Table13569[[#This Row],[Material]], 9) = "MD06G1207", "G12", ""))</calculatedColumnFormula>
    </tableColumn>
    <tableColumn id="42" xr3:uid="{F84B2025-878F-43DA-A52A-6CF506A392A0}" name="Material Code" dataDxfId="94">
      <calculatedColumnFormula>MID(Table13569[[#This Row],[Material]],1,13)</calculatedColumnFormula>
    </tableColumn>
    <tableColumn id="43" xr3:uid="{775BE8F2-1B3D-4A80-BF80-E0BB0744569C}" name="PCS" dataDxfId="93">
      <calculatedColumnFormula>Table13569[[#This Row],['[WT']GR]]/Table13569[[#This Row],[Efficiency(WT)]]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8863-7431-494E-976C-2174CA1C7867}">
  <sheetPr codeName="Sheet4">
    <pageSetUpPr autoPageBreaks="0"/>
  </sheetPr>
  <dimension ref="A1:L74"/>
  <sheetViews>
    <sheetView showGridLines="0" zoomScale="137" zoomScaleNormal="100" workbookViewId="0">
      <selection activeCell="C26" sqref="C26"/>
    </sheetView>
  </sheetViews>
  <sheetFormatPr baseColWidth="10" defaultColWidth="8.83203125" defaultRowHeight="18" customHeight="1"/>
  <cols>
    <col min="1" max="1" width="26" style="6" customWidth="1"/>
    <col min="2" max="2" width="11.83203125" style="6" customWidth="1"/>
    <col min="3" max="3" width="7" style="6" bestFit="1" customWidth="1"/>
    <col min="4" max="4" width="6.1640625" style="6" bestFit="1" customWidth="1"/>
    <col min="5" max="5" width="16.6640625" style="1" bestFit="1" customWidth="1"/>
    <col min="6" max="6" width="10.6640625" style="1" bestFit="1" customWidth="1"/>
    <col min="7" max="8" width="7.6640625" style="1" bestFit="1" customWidth="1"/>
    <col min="9" max="11" width="6.6640625" style="1" customWidth="1"/>
    <col min="12" max="16384" width="8.83203125" style="1"/>
  </cols>
  <sheetData>
    <row r="1" spans="1:12" ht="16.5" customHeight="1">
      <c r="A1" s="1"/>
      <c r="B1" s="3"/>
      <c r="C1" s="4"/>
      <c r="D1" s="5"/>
      <c r="E1" s="5"/>
      <c r="F1" s="5"/>
      <c r="G1" s="5"/>
      <c r="H1" s="5"/>
      <c r="I1" s="5"/>
      <c r="J1" s="5"/>
      <c r="K1" s="5"/>
    </row>
    <row r="2" spans="1:12" ht="18" customHeight="1">
      <c r="A2" s="20" t="s">
        <v>109</v>
      </c>
      <c r="B2" s="21" t="s">
        <v>82</v>
      </c>
      <c r="C2" s="21" t="s">
        <v>85</v>
      </c>
      <c r="D2" s="5"/>
      <c r="E2" s="5"/>
      <c r="F2" s="5"/>
      <c r="G2" s="5"/>
      <c r="H2" s="5"/>
      <c r="I2" s="5"/>
      <c r="J2" s="5"/>
      <c r="K2" s="5"/>
    </row>
    <row r="3" spans="1:12" ht="16.5" customHeight="1">
      <c r="A3" s="21" t="s">
        <v>113</v>
      </c>
      <c r="B3" s="24">
        <v>0</v>
      </c>
      <c r="C3" s="25">
        <v>0</v>
      </c>
      <c r="D3" s="5"/>
      <c r="E3" s="5"/>
      <c r="F3" s="5"/>
      <c r="G3" s="5"/>
      <c r="H3" s="5"/>
      <c r="I3" s="5"/>
      <c r="J3" s="5"/>
      <c r="K3" s="5"/>
    </row>
    <row r="4" spans="1:12" ht="16.5" customHeight="1">
      <c r="A4" s="22" t="s">
        <v>3</v>
      </c>
      <c r="B4" s="24">
        <v>0</v>
      </c>
      <c r="C4" s="25">
        <v>0</v>
      </c>
      <c r="D4" s="5"/>
      <c r="E4" s="5"/>
      <c r="F4" s="5"/>
      <c r="G4" s="5"/>
      <c r="H4" s="5"/>
      <c r="I4" s="5"/>
      <c r="J4" s="5"/>
      <c r="K4" s="5"/>
    </row>
    <row r="5" spans="1:12" ht="16.5" customHeight="1">
      <c r="A5" s="23" t="s">
        <v>66</v>
      </c>
      <c r="B5" s="24">
        <v>0</v>
      </c>
      <c r="C5" s="25">
        <v>0</v>
      </c>
      <c r="D5" s="5"/>
      <c r="E5" s="5"/>
      <c r="F5" s="5"/>
      <c r="G5" s="5"/>
      <c r="H5" s="5"/>
      <c r="I5" s="5"/>
      <c r="J5" s="5"/>
      <c r="K5" s="5"/>
    </row>
    <row r="6" spans="1:12" ht="16.5" customHeight="1">
      <c r="A6" s="22" t="s">
        <v>4</v>
      </c>
      <c r="B6" s="24">
        <v>0</v>
      </c>
      <c r="C6" s="25">
        <v>0</v>
      </c>
      <c r="D6" s="5"/>
      <c r="E6" s="5"/>
      <c r="F6" s="5"/>
      <c r="G6" s="5"/>
      <c r="H6" s="5"/>
      <c r="I6" s="5"/>
      <c r="J6" s="5"/>
      <c r="K6" s="5"/>
    </row>
    <row r="7" spans="1:12" ht="16.5" customHeight="1">
      <c r="A7" s="23" t="s">
        <v>66</v>
      </c>
      <c r="B7" s="24">
        <v>0</v>
      </c>
      <c r="C7" s="25">
        <v>0</v>
      </c>
      <c r="D7" s="5"/>
      <c r="E7" s="5"/>
      <c r="F7" s="5"/>
      <c r="G7" s="5"/>
      <c r="H7" s="5"/>
      <c r="I7" s="5"/>
      <c r="J7" s="5"/>
      <c r="K7" s="5"/>
      <c r="L7" s="4"/>
    </row>
    <row r="8" spans="1:12" ht="16.5" customHeight="1">
      <c r="A8" s="23" t="s">
        <v>65</v>
      </c>
      <c r="B8" s="24">
        <v>0</v>
      </c>
      <c r="C8" s="25">
        <v>0</v>
      </c>
      <c r="D8" s="5"/>
      <c r="E8" s="5"/>
      <c r="F8" s="5"/>
      <c r="G8" s="5"/>
      <c r="H8" s="5"/>
      <c r="I8" s="5"/>
      <c r="J8" s="5"/>
      <c r="K8" s="5"/>
      <c r="L8" s="4"/>
    </row>
    <row r="9" spans="1:12" ht="16.5" customHeight="1">
      <c r="A9" s="21" t="s">
        <v>114</v>
      </c>
      <c r="B9" s="24">
        <v>0</v>
      </c>
      <c r="C9" s="25">
        <v>0</v>
      </c>
      <c r="D9" s="5"/>
      <c r="E9" s="5"/>
      <c r="F9" s="5"/>
      <c r="G9" s="5"/>
      <c r="H9" s="5"/>
      <c r="I9" s="5"/>
      <c r="J9" s="5"/>
      <c r="K9" s="5"/>
    </row>
    <row r="10" spans="1:12" ht="16.5" customHeight="1">
      <c r="A10" s="22" t="s">
        <v>3</v>
      </c>
      <c r="B10" s="24">
        <v>0</v>
      </c>
      <c r="C10" s="25">
        <v>0</v>
      </c>
      <c r="D10" s="5"/>
      <c r="E10" s="5"/>
      <c r="F10" s="5"/>
      <c r="G10" s="5"/>
      <c r="H10" s="5"/>
      <c r="I10" s="5"/>
      <c r="J10" s="5"/>
      <c r="K10" s="5"/>
    </row>
    <row r="11" spans="1:12" ht="16.5" customHeight="1">
      <c r="A11" s="23" t="s">
        <v>67</v>
      </c>
      <c r="B11" s="24">
        <v>0</v>
      </c>
      <c r="C11" s="25">
        <v>0</v>
      </c>
      <c r="D11" s="5"/>
      <c r="E11" s="5"/>
      <c r="F11" s="5"/>
      <c r="G11" s="5"/>
      <c r="H11" s="5"/>
      <c r="I11" s="5"/>
      <c r="J11" s="5"/>
      <c r="K11" s="5"/>
    </row>
    <row r="12" spans="1:12" ht="16.5" customHeight="1">
      <c r="A12" s="23" t="s">
        <v>66</v>
      </c>
      <c r="B12" s="24">
        <v>0</v>
      </c>
      <c r="C12" s="25">
        <v>0</v>
      </c>
      <c r="D12" s="5"/>
      <c r="E12" s="5"/>
      <c r="F12" s="5"/>
      <c r="G12" s="5"/>
      <c r="H12" s="5"/>
      <c r="I12" s="5"/>
      <c r="J12" s="5"/>
      <c r="K12" s="5"/>
    </row>
    <row r="13" spans="1:12" ht="16.5" customHeight="1">
      <c r="A13" s="22" t="s">
        <v>4</v>
      </c>
      <c r="B13" s="24">
        <v>0</v>
      </c>
      <c r="C13" s="25">
        <v>0</v>
      </c>
      <c r="D13" s="5"/>
      <c r="E13" s="5"/>
      <c r="F13" s="5"/>
      <c r="G13" s="5"/>
      <c r="H13" s="5"/>
      <c r="I13" s="5"/>
      <c r="J13" s="5"/>
      <c r="K13" s="5"/>
    </row>
    <row r="14" spans="1:12" ht="16.5" customHeight="1">
      <c r="A14" s="23" t="s">
        <v>66</v>
      </c>
      <c r="B14" s="24">
        <v>0</v>
      </c>
      <c r="C14" s="25">
        <v>0</v>
      </c>
      <c r="D14" s="5"/>
      <c r="E14" s="5"/>
      <c r="F14" s="5"/>
      <c r="G14" s="5"/>
      <c r="H14" s="5"/>
      <c r="I14" s="5"/>
      <c r="J14" s="5"/>
      <c r="K14" s="5"/>
    </row>
    <row r="15" spans="1:12" ht="16.5" customHeight="1">
      <c r="A15" s="23" t="s">
        <v>65</v>
      </c>
      <c r="B15" s="24">
        <v>0</v>
      </c>
      <c r="C15" s="25">
        <v>0</v>
      </c>
      <c r="D15" s="5"/>
      <c r="E15" s="5"/>
      <c r="F15" s="5"/>
      <c r="G15" s="5"/>
      <c r="H15" s="5"/>
      <c r="I15" s="5"/>
      <c r="J15" s="5"/>
      <c r="K15" s="5"/>
    </row>
    <row r="16" spans="1:12" ht="16.5" customHeight="1">
      <c r="A16" s="21" t="s">
        <v>80</v>
      </c>
      <c r="B16" s="24">
        <v>0</v>
      </c>
      <c r="C16" s="25">
        <v>0</v>
      </c>
      <c r="D16" s="5"/>
      <c r="E16" s="5"/>
      <c r="F16" s="5"/>
      <c r="G16" s="5"/>
      <c r="H16" s="5"/>
      <c r="I16" s="5"/>
      <c r="J16" s="5"/>
      <c r="K16" s="5"/>
    </row>
    <row r="17" spans="1:11" ht="16.5" customHeight="1">
      <c r="A17" s="22" t="s">
        <v>3</v>
      </c>
      <c r="B17" s="24">
        <v>0</v>
      </c>
      <c r="C17" s="25">
        <v>0</v>
      </c>
      <c r="D17" s="5"/>
      <c r="E17" s="5"/>
      <c r="F17" s="5"/>
      <c r="G17" s="5"/>
      <c r="H17" s="5"/>
      <c r="I17" s="5"/>
      <c r="J17" s="5"/>
      <c r="K17" s="5"/>
    </row>
    <row r="18" spans="1:11" ht="16.5" customHeight="1">
      <c r="A18" s="23" t="s">
        <v>66</v>
      </c>
      <c r="B18" s="24">
        <v>0</v>
      </c>
      <c r="C18" s="25">
        <v>0</v>
      </c>
      <c r="D18" s="5"/>
      <c r="E18" s="5"/>
      <c r="F18" s="5"/>
      <c r="G18" s="5"/>
      <c r="H18" s="5"/>
      <c r="I18" s="5"/>
      <c r="J18" s="5"/>
      <c r="K18" s="5"/>
    </row>
    <row r="19" spans="1:11" ht="18" customHeight="1">
      <c r="A19" s="21" t="s">
        <v>60</v>
      </c>
      <c r="B19" s="24">
        <v>0</v>
      </c>
      <c r="C19" s="25">
        <v>0</v>
      </c>
      <c r="D19" s="5"/>
      <c r="E19" s="5"/>
      <c r="F19" s="5"/>
      <c r="G19" s="5"/>
      <c r="H19" s="5"/>
      <c r="I19" s="5"/>
      <c r="J19" s="5"/>
      <c r="K19" s="5"/>
    </row>
    <row r="20" spans="1:11" ht="18" customHeight="1">
      <c r="A20" s="22" t="s">
        <v>3</v>
      </c>
      <c r="B20" s="24">
        <v>0</v>
      </c>
      <c r="C20" s="25">
        <v>0</v>
      </c>
      <c r="D20" s="5"/>
      <c r="E20" s="5"/>
      <c r="F20" s="5"/>
      <c r="G20" s="5"/>
      <c r="H20" s="5"/>
      <c r="I20" s="5"/>
      <c r="J20" s="5"/>
      <c r="K20" s="5"/>
    </row>
    <row r="21" spans="1:11" ht="18" customHeight="1">
      <c r="A21" s="23" t="s">
        <v>66</v>
      </c>
      <c r="B21" s="24">
        <v>0</v>
      </c>
      <c r="C21" s="25">
        <v>0</v>
      </c>
      <c r="D21" s="5"/>
      <c r="E21" s="5"/>
      <c r="F21" s="5"/>
      <c r="G21" s="5"/>
      <c r="H21" s="5"/>
      <c r="I21" s="5"/>
      <c r="J21" s="5"/>
      <c r="K21" s="5"/>
    </row>
    <row r="22" spans="1:11" ht="18" customHeight="1">
      <c r="A22" s="21" t="s">
        <v>64</v>
      </c>
      <c r="B22" s="24">
        <v>0</v>
      </c>
      <c r="C22" s="25">
        <v>0</v>
      </c>
      <c r="D22" s="5"/>
      <c r="E22" s="5"/>
      <c r="F22" s="5"/>
      <c r="G22" s="5"/>
      <c r="H22" s="5"/>
      <c r="I22" s="5"/>
      <c r="J22" s="5"/>
      <c r="K22" s="5"/>
    </row>
    <row r="23" spans="1:11" ht="18" customHeight="1">
      <c r="A23" s="22" t="s">
        <v>3</v>
      </c>
      <c r="B23" s="24">
        <v>0</v>
      </c>
      <c r="C23" s="25">
        <v>0</v>
      </c>
      <c r="D23" s="5"/>
      <c r="E23" s="5"/>
      <c r="F23" s="5"/>
      <c r="G23" s="5"/>
      <c r="H23" s="5"/>
      <c r="I23" s="5"/>
      <c r="J23" s="5"/>
      <c r="K23" s="5"/>
    </row>
    <row r="24" spans="1:11" ht="18" customHeight="1">
      <c r="A24" s="23" t="s">
        <v>66</v>
      </c>
      <c r="B24" s="24">
        <v>0</v>
      </c>
      <c r="C24" s="25">
        <v>0</v>
      </c>
      <c r="D24" s="5"/>
      <c r="E24" s="5"/>
      <c r="F24" s="5"/>
      <c r="G24" s="5"/>
      <c r="H24" s="5"/>
      <c r="I24" s="5"/>
      <c r="J24" s="5"/>
      <c r="K24" s="5"/>
    </row>
    <row r="25" spans="1:11" ht="18" customHeight="1">
      <c r="A25" s="28" t="s">
        <v>86</v>
      </c>
      <c r="B25" s="26">
        <v>0</v>
      </c>
      <c r="C25" s="27">
        <v>0</v>
      </c>
      <c r="D25" s="5"/>
      <c r="E25" s="5"/>
      <c r="F25" s="5"/>
      <c r="G25" s="5"/>
      <c r="H25" s="5"/>
      <c r="I25" s="5"/>
      <c r="J25" s="5"/>
      <c r="K25" s="5"/>
    </row>
    <row r="26" spans="1:11" ht="18" customHeight="1">
      <c r="A26" s="22" t="s">
        <v>3</v>
      </c>
      <c r="B26" s="24">
        <v>0</v>
      </c>
      <c r="C26" s="25">
        <v>0</v>
      </c>
      <c r="D26" s="5"/>
      <c r="E26" s="5"/>
      <c r="F26" s="5"/>
      <c r="G26" s="5"/>
      <c r="H26" s="5"/>
      <c r="I26" s="5"/>
      <c r="J26" s="5"/>
      <c r="K26" s="5"/>
    </row>
    <row r="27" spans="1:11" ht="18" customHeight="1">
      <c r="A27" s="23" t="s">
        <v>66</v>
      </c>
      <c r="B27" s="24">
        <v>0</v>
      </c>
      <c r="C27" s="25">
        <v>0</v>
      </c>
      <c r="D27" s="5"/>
      <c r="E27" s="5"/>
      <c r="F27" s="5"/>
      <c r="G27" s="5"/>
      <c r="H27" s="5"/>
      <c r="I27" s="5"/>
      <c r="J27" s="5"/>
      <c r="K27" s="5"/>
    </row>
    <row r="28" spans="1:11" ht="18" customHeight="1">
      <c r="A28" s="22" t="s">
        <v>4</v>
      </c>
      <c r="B28" s="24">
        <v>0</v>
      </c>
      <c r="C28" s="25">
        <v>0</v>
      </c>
      <c r="D28" s="5"/>
      <c r="E28" s="5"/>
      <c r="F28" s="5"/>
      <c r="G28" s="5"/>
      <c r="H28" s="5"/>
      <c r="I28" s="5"/>
      <c r="J28" s="5"/>
      <c r="K28" s="5"/>
    </row>
    <row r="29" spans="1:11" ht="18" customHeight="1">
      <c r="A29" s="23" t="s">
        <v>66</v>
      </c>
      <c r="B29" s="24">
        <v>0</v>
      </c>
      <c r="C29" s="25">
        <v>0</v>
      </c>
      <c r="D29" s="5"/>
      <c r="E29" s="5"/>
      <c r="F29" s="5"/>
      <c r="G29" s="5"/>
      <c r="H29" s="5"/>
      <c r="I29" s="5"/>
      <c r="J29" s="5"/>
      <c r="K29" s="5"/>
    </row>
    <row r="30" spans="1:11" ht="18" customHeight="1">
      <c r="A30" s="28" t="s">
        <v>97</v>
      </c>
      <c r="B30" s="26">
        <v>1.8290000000000001E-2</v>
      </c>
      <c r="C30" s="27">
        <v>31</v>
      </c>
      <c r="D30" s="5"/>
      <c r="E30" s="5"/>
      <c r="F30" s="5"/>
      <c r="G30" s="5"/>
      <c r="H30" s="5"/>
      <c r="I30" s="5"/>
      <c r="J30" s="5"/>
      <c r="K30" s="5"/>
    </row>
    <row r="31" spans="1:11" ht="18" customHeight="1">
      <c r="A31" s="22" t="s">
        <v>3</v>
      </c>
      <c r="B31" s="24">
        <v>1.8290000000000001E-2</v>
      </c>
      <c r="C31" s="25">
        <v>31</v>
      </c>
      <c r="D31" s="5"/>
      <c r="E31" s="5"/>
      <c r="F31" s="5"/>
      <c r="G31" s="5"/>
      <c r="H31" s="5"/>
      <c r="I31" s="5"/>
    </row>
    <row r="32" spans="1:11" ht="18" customHeight="1">
      <c r="A32" s="23" t="s">
        <v>66</v>
      </c>
      <c r="B32" s="24">
        <v>1.8290000000000001E-2</v>
      </c>
      <c r="C32" s="25">
        <v>31</v>
      </c>
      <c r="D32" s="5"/>
      <c r="E32" s="5"/>
      <c r="F32" s="5"/>
      <c r="G32" s="5"/>
      <c r="H32" s="5"/>
      <c r="I32" s="5"/>
    </row>
    <row r="33" spans="1:11" ht="18" customHeight="1">
      <c r="A33" s="22" t="s">
        <v>4</v>
      </c>
      <c r="B33" s="24">
        <v>0</v>
      </c>
      <c r="C33" s="25">
        <v>0</v>
      </c>
      <c r="D33" s="5"/>
      <c r="E33" s="5"/>
      <c r="F33" s="5"/>
      <c r="G33" s="5"/>
      <c r="H33" s="5"/>
      <c r="I33" s="5"/>
    </row>
    <row r="34" spans="1:11" ht="18" customHeight="1">
      <c r="A34" s="23" t="s">
        <v>66</v>
      </c>
      <c r="B34" s="24">
        <v>0</v>
      </c>
      <c r="C34" s="25">
        <v>0</v>
      </c>
      <c r="D34" s="5"/>
      <c r="E34" s="5"/>
      <c r="F34" s="5"/>
      <c r="G34" s="5"/>
      <c r="H34" s="5"/>
      <c r="I34" s="5"/>
    </row>
    <row r="35" spans="1:11" ht="18" customHeight="1">
      <c r="A35" s="23" t="s">
        <v>65</v>
      </c>
      <c r="B35" s="24">
        <v>0</v>
      </c>
      <c r="C35" s="25">
        <v>0</v>
      </c>
      <c r="D35" s="5"/>
      <c r="E35" s="5"/>
      <c r="F35" s="5"/>
      <c r="G35" s="5"/>
      <c r="H35" s="5"/>
      <c r="I35" s="5"/>
      <c r="J35" s="13"/>
      <c r="K35" s="13"/>
    </row>
    <row r="36" spans="1:11" ht="18" customHeight="1">
      <c r="A36" s="28" t="s">
        <v>89</v>
      </c>
      <c r="B36" s="26">
        <v>2.46915</v>
      </c>
      <c r="C36" s="27">
        <v>4185</v>
      </c>
      <c r="D36" s="5"/>
      <c r="E36" s="5"/>
      <c r="F36" s="5"/>
      <c r="G36" s="5"/>
      <c r="H36" s="5"/>
      <c r="I36" s="5"/>
      <c r="J36" s="12"/>
      <c r="K36" s="12"/>
    </row>
    <row r="37" spans="1:11" ht="18" customHeight="1">
      <c r="A37" s="22" t="s">
        <v>3</v>
      </c>
      <c r="B37" s="24">
        <v>2.46915</v>
      </c>
      <c r="C37" s="25">
        <v>4185</v>
      </c>
      <c r="D37" s="5"/>
      <c r="E37" s="5"/>
      <c r="F37" s="5"/>
      <c r="G37" s="5"/>
      <c r="H37" s="5"/>
      <c r="I37" s="5"/>
      <c r="J37" s="12"/>
      <c r="K37" s="12"/>
    </row>
    <row r="38" spans="1:11" ht="18" customHeight="1">
      <c r="A38" s="23" t="s">
        <v>66</v>
      </c>
      <c r="B38" s="24">
        <v>2.46915</v>
      </c>
      <c r="C38" s="25">
        <v>4185</v>
      </c>
      <c r="D38" s="5"/>
      <c r="E38" s="5"/>
      <c r="F38" s="5"/>
      <c r="G38" s="5"/>
      <c r="H38" s="5"/>
      <c r="I38" s="5"/>
      <c r="J38" s="12"/>
      <c r="K38" s="12"/>
    </row>
    <row r="39" spans="1:11" ht="18" customHeight="1">
      <c r="A39" s="22" t="s">
        <v>4</v>
      </c>
      <c r="B39" s="24">
        <v>0</v>
      </c>
      <c r="C39" s="25">
        <v>0</v>
      </c>
      <c r="D39" s="5"/>
      <c r="E39" s="5"/>
      <c r="F39" s="5"/>
      <c r="G39" s="5"/>
      <c r="H39" s="5"/>
      <c r="I39" s="5"/>
      <c r="J39" s="12"/>
      <c r="K39" s="12"/>
    </row>
    <row r="40" spans="1:11" ht="18" customHeight="1">
      <c r="A40" s="23" t="s">
        <v>66</v>
      </c>
      <c r="B40" s="24">
        <v>0</v>
      </c>
      <c r="C40" s="25">
        <v>0</v>
      </c>
      <c r="D40" s="5"/>
      <c r="E40" s="5"/>
      <c r="F40" s="5"/>
      <c r="G40" s="5"/>
      <c r="H40" s="5"/>
      <c r="I40" s="5"/>
      <c r="J40" s="12"/>
      <c r="K40" s="12"/>
    </row>
    <row r="41" spans="1:11" ht="18" customHeight="1">
      <c r="A41" s="23" t="s">
        <v>65</v>
      </c>
      <c r="B41" s="24">
        <v>0</v>
      </c>
      <c r="C41" s="25">
        <v>0</v>
      </c>
      <c r="D41" s="5"/>
      <c r="E41" s="5"/>
      <c r="F41" s="5"/>
      <c r="G41" s="5"/>
      <c r="H41" s="5"/>
      <c r="I41" s="5"/>
    </row>
    <row r="42" spans="1:11" ht="18" customHeight="1">
      <c r="A42" s="28" t="s">
        <v>101</v>
      </c>
      <c r="B42" s="26">
        <v>2.1092499999999998</v>
      </c>
      <c r="C42" s="27">
        <v>3224</v>
      </c>
      <c r="D42"/>
    </row>
    <row r="43" spans="1:11" ht="18" customHeight="1">
      <c r="A43" s="22" t="s">
        <v>3</v>
      </c>
      <c r="B43" s="24">
        <v>2.00787</v>
      </c>
      <c r="C43" s="25">
        <v>3069</v>
      </c>
      <c r="D43"/>
    </row>
    <row r="44" spans="1:11" ht="18" customHeight="1">
      <c r="A44" s="23" t="s">
        <v>111</v>
      </c>
      <c r="B44" s="24">
        <v>0.30225000000000002</v>
      </c>
      <c r="C44" s="25">
        <v>465</v>
      </c>
      <c r="D44" s="1"/>
    </row>
    <row r="45" spans="1:11" ht="18" customHeight="1">
      <c r="A45" s="23" t="s">
        <v>112</v>
      </c>
      <c r="B45" s="24">
        <v>1.7056199999999999</v>
      </c>
      <c r="C45" s="25">
        <v>2604</v>
      </c>
      <c r="D45" s="1"/>
    </row>
    <row r="46" spans="1:11" ht="18" customHeight="1">
      <c r="A46" s="23" t="s">
        <v>71</v>
      </c>
      <c r="B46" s="24">
        <v>0</v>
      </c>
      <c r="C46" s="25">
        <v>0</v>
      </c>
      <c r="D46" s="1"/>
    </row>
    <row r="47" spans="1:11" ht="18" customHeight="1">
      <c r="A47" s="22" t="s">
        <v>4</v>
      </c>
      <c r="B47" s="24">
        <v>0.10138</v>
      </c>
      <c r="C47" s="25">
        <v>155</v>
      </c>
      <c r="D47" s="1"/>
    </row>
    <row r="48" spans="1:11" ht="18" customHeight="1">
      <c r="A48" s="23" t="s">
        <v>111</v>
      </c>
      <c r="B48" s="24">
        <v>2.0150000000000001E-2</v>
      </c>
      <c r="C48" s="25">
        <v>31</v>
      </c>
      <c r="D48" s="1"/>
    </row>
    <row r="49" spans="1:4" ht="18" customHeight="1">
      <c r="A49" s="23" t="s">
        <v>112</v>
      </c>
      <c r="B49" s="24">
        <v>7.9909999999999995E-2</v>
      </c>
      <c r="C49" s="25">
        <v>122</v>
      </c>
      <c r="D49" s="1"/>
    </row>
    <row r="50" spans="1:4" ht="18" customHeight="1">
      <c r="A50" s="23" t="s">
        <v>71</v>
      </c>
      <c r="B50" s="24">
        <v>1.32E-3</v>
      </c>
      <c r="C50" s="25">
        <v>2</v>
      </c>
      <c r="D50"/>
    </row>
    <row r="51" spans="1:4" ht="18" customHeight="1">
      <c r="A51" s="28" t="s">
        <v>63</v>
      </c>
      <c r="B51" s="26">
        <v>0</v>
      </c>
      <c r="C51" s="27">
        <v>0</v>
      </c>
      <c r="D51"/>
    </row>
    <row r="52" spans="1:4" ht="18" customHeight="1">
      <c r="A52" s="22" t="s">
        <v>3</v>
      </c>
      <c r="B52" s="24">
        <v>0</v>
      </c>
      <c r="C52" s="25">
        <v>0</v>
      </c>
      <c r="D52"/>
    </row>
    <row r="53" spans="1:4" ht="18" customHeight="1">
      <c r="A53" s="23" t="s">
        <v>71</v>
      </c>
      <c r="B53" s="24">
        <v>0</v>
      </c>
      <c r="C53" s="25">
        <v>0</v>
      </c>
      <c r="D53"/>
    </row>
    <row r="54" spans="1:4" ht="18" customHeight="1">
      <c r="A54" s="22" t="s">
        <v>4</v>
      </c>
      <c r="B54" s="24">
        <v>0</v>
      </c>
      <c r="C54" s="25">
        <v>0</v>
      </c>
      <c r="D54"/>
    </row>
    <row r="55" spans="1:4" ht="18" customHeight="1">
      <c r="A55" s="23" t="s">
        <v>71</v>
      </c>
      <c r="B55" s="24">
        <v>0</v>
      </c>
      <c r="C55" s="25">
        <v>0</v>
      </c>
      <c r="D55"/>
    </row>
    <row r="56" spans="1:4" ht="18" customHeight="1">
      <c r="A56" s="28" t="s">
        <v>81</v>
      </c>
      <c r="B56" s="26">
        <v>0</v>
      </c>
      <c r="C56" s="27">
        <v>0</v>
      </c>
      <c r="D56"/>
    </row>
    <row r="57" spans="1:4" ht="18" customHeight="1">
      <c r="A57" s="22" t="s">
        <v>3</v>
      </c>
      <c r="B57" s="24">
        <v>0</v>
      </c>
      <c r="C57" s="25">
        <v>0</v>
      </c>
      <c r="D57"/>
    </row>
    <row r="58" spans="1:4" ht="18" customHeight="1">
      <c r="A58" s="23" t="s">
        <v>71</v>
      </c>
      <c r="B58" s="24">
        <v>0</v>
      </c>
      <c r="C58" s="25">
        <v>0</v>
      </c>
      <c r="D58"/>
    </row>
    <row r="59" spans="1:4" ht="18" customHeight="1">
      <c r="A59" s="23" t="s">
        <v>75</v>
      </c>
      <c r="B59" s="24">
        <v>0</v>
      </c>
      <c r="C59" s="25">
        <v>0</v>
      </c>
      <c r="D59"/>
    </row>
    <row r="60" spans="1:4" ht="18" customHeight="1">
      <c r="A60" s="28" t="s">
        <v>110</v>
      </c>
      <c r="B60" s="26">
        <v>4.5966899999999997</v>
      </c>
      <c r="C60" s="27">
        <v>7440</v>
      </c>
    </row>
    <row r="61" spans="1:4" ht="18" customHeight="1">
      <c r="A61"/>
      <c r="B61"/>
      <c r="C61"/>
    </row>
    <row r="62" spans="1:4" ht="18" customHeight="1">
      <c r="A62"/>
      <c r="B62"/>
      <c r="C62"/>
    </row>
    <row r="63" spans="1:4" ht="18" customHeight="1">
      <c r="A63"/>
      <c r="B63"/>
      <c r="C63"/>
    </row>
    <row r="64" spans="1:4" ht="18" customHeight="1">
      <c r="A64"/>
      <c r="B64"/>
      <c r="C64"/>
    </row>
    <row r="65" spans="1:3" ht="18" customHeight="1">
      <c r="A65"/>
      <c r="B65"/>
      <c r="C65"/>
    </row>
    <row r="66" spans="1:3" ht="18" customHeight="1">
      <c r="A66"/>
      <c r="B66"/>
      <c r="C66"/>
    </row>
    <row r="67" spans="1:3" ht="18" customHeight="1">
      <c r="A67"/>
      <c r="B67"/>
      <c r="C67"/>
    </row>
    <row r="68" spans="1:3" ht="18" customHeight="1">
      <c r="A68"/>
      <c r="B68"/>
      <c r="C68"/>
    </row>
    <row r="69" spans="1:3" ht="18" customHeight="1">
      <c r="A69"/>
      <c r="B69"/>
      <c r="C69"/>
    </row>
    <row r="70" spans="1:3" ht="18" customHeight="1">
      <c r="A70"/>
      <c r="B70"/>
      <c r="C70"/>
    </row>
    <row r="71" spans="1:3" ht="18" customHeight="1">
      <c r="A71"/>
      <c r="B71"/>
      <c r="C71"/>
    </row>
    <row r="72" spans="1:3" ht="18" customHeight="1">
      <c r="A72"/>
      <c r="B72"/>
      <c r="C72"/>
    </row>
    <row r="73" spans="1:3" ht="18" customHeight="1">
      <c r="A73"/>
      <c r="B73"/>
      <c r="C73"/>
    </row>
    <row r="74" spans="1:3" ht="18" customHeight="1">
      <c r="A74"/>
      <c r="B74"/>
      <c r="C74"/>
    </row>
  </sheetData>
  <phoneticPr fontId="5" type="noConversion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7C63-EE0A-4A35-94DD-D47DD1F27B67}">
  <sheetPr codeName="Sheet6">
    <pageSetUpPr autoPageBreaks="0"/>
  </sheetPr>
  <dimension ref="A1:AQ33"/>
  <sheetViews>
    <sheetView showGridLines="0" tabSelected="1" topLeftCell="T1" zoomScale="135" zoomScaleNormal="70" workbookViewId="0">
      <selection activeCell="F22" sqref="F22"/>
    </sheetView>
  </sheetViews>
  <sheetFormatPr baseColWidth="10" defaultColWidth="8.83203125" defaultRowHeight="14"/>
  <cols>
    <col min="1" max="1" width="12.5" style="10" bestFit="1" customWidth="1"/>
    <col min="2" max="2" width="16" style="10" bestFit="1" customWidth="1"/>
    <col min="3" max="3" width="23" style="10" bestFit="1" customWidth="1"/>
    <col min="4" max="4" width="45.5" style="10" bestFit="1" customWidth="1"/>
    <col min="5" max="5" width="13.83203125" style="19" bestFit="1" customWidth="1"/>
    <col min="6" max="6" width="8" style="10" bestFit="1" customWidth="1"/>
    <col min="7" max="7" width="10.5" style="10" bestFit="1" customWidth="1"/>
    <col min="8" max="8" width="14.33203125" style="10" bestFit="1" customWidth="1"/>
    <col min="9" max="9" width="8.83203125" style="10" bestFit="1" customWidth="1"/>
    <col min="10" max="10" width="15.5" style="10" bestFit="1" customWidth="1"/>
    <col min="11" max="11" width="8" style="10" bestFit="1" customWidth="1"/>
    <col min="12" max="12" width="12.6640625" style="10" bestFit="1" customWidth="1"/>
    <col min="13" max="13" width="6.6640625" style="10" bestFit="1" customWidth="1"/>
    <col min="14" max="14" width="12.6640625" style="10" bestFit="1" customWidth="1"/>
    <col min="15" max="15" width="7.6640625" style="10" bestFit="1" customWidth="1"/>
    <col min="16" max="16" width="11.1640625" style="10" bestFit="1" customWidth="1"/>
    <col min="17" max="17" width="8.33203125" style="10" bestFit="1" customWidth="1"/>
    <col min="18" max="18" width="12.1640625" style="10" bestFit="1" customWidth="1"/>
    <col min="19" max="19" width="8.83203125" style="10" bestFit="1" customWidth="1"/>
    <col min="20" max="20" width="15.5" style="10" bestFit="1" customWidth="1"/>
    <col min="21" max="21" width="8.83203125" style="10" bestFit="1" customWidth="1"/>
    <col min="22" max="22" width="12.6640625" style="10" bestFit="1" customWidth="1"/>
    <col min="23" max="23" width="9.6640625" style="10" bestFit="1" customWidth="1"/>
    <col min="24" max="24" width="13.5" style="10" bestFit="1" customWidth="1"/>
    <col min="25" max="25" width="11" style="10" bestFit="1" customWidth="1"/>
    <col min="26" max="26" width="15.1640625" style="10" bestFit="1" customWidth="1"/>
    <col min="27" max="27" width="18.1640625" style="10" bestFit="1" customWidth="1"/>
    <col min="28" max="28" width="13.5" style="10" bestFit="1" customWidth="1"/>
    <col min="29" max="29" width="8.83203125" style="10" bestFit="1" customWidth="1"/>
    <col min="30" max="30" width="15.5" style="10" bestFit="1" customWidth="1"/>
    <col min="31" max="31" width="6.83203125" style="10" bestFit="1" customWidth="1"/>
    <col min="32" max="32" width="10.5" style="10" bestFit="1" customWidth="1"/>
    <col min="33" max="33" width="7.6640625" style="10" bestFit="1" customWidth="1"/>
    <col min="34" max="34" width="11.1640625" style="10" bestFit="1" customWidth="1"/>
    <col min="35" max="35" width="8.83203125" style="10" bestFit="1" customWidth="1"/>
    <col min="36" max="36" width="15.5" style="10" bestFit="1" customWidth="1"/>
    <col min="37" max="37" width="10.1640625" style="10" bestFit="1" customWidth="1"/>
    <col min="38" max="38" width="14" style="10" bestFit="1" customWidth="1"/>
    <col min="39" max="39" width="20.5" style="10" bestFit="1" customWidth="1"/>
    <col min="40" max="40" width="21.33203125" style="10" bestFit="1" customWidth="1"/>
    <col min="41" max="41" width="5.83203125" style="10" bestFit="1" customWidth="1"/>
    <col min="42" max="42" width="15" style="10" bestFit="1" customWidth="1"/>
    <col min="43" max="43" width="8.83203125" style="10"/>
    <col min="44" max="16384" width="8.83203125" style="2"/>
  </cols>
  <sheetData>
    <row r="1" spans="1:43">
      <c r="A1" s="7" t="s">
        <v>15</v>
      </c>
      <c r="B1" s="8" t="s">
        <v>16</v>
      </c>
      <c r="C1" s="7" t="s">
        <v>0</v>
      </c>
      <c r="D1" s="7" t="s">
        <v>1</v>
      </c>
      <c r="E1" s="1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30</v>
      </c>
      <c r="S1" s="7" t="s">
        <v>31</v>
      </c>
      <c r="T1" s="7" t="s">
        <v>32</v>
      </c>
      <c r="U1" s="7" t="s">
        <v>33</v>
      </c>
      <c r="V1" s="7" t="s">
        <v>34</v>
      </c>
      <c r="W1" s="7" t="s">
        <v>35</v>
      </c>
      <c r="X1" s="7" t="s">
        <v>36</v>
      </c>
      <c r="Y1" s="7" t="s">
        <v>37</v>
      </c>
      <c r="Z1" s="7" t="s">
        <v>38</v>
      </c>
      <c r="AA1" s="8" t="s">
        <v>39</v>
      </c>
      <c r="AB1" s="7" t="s">
        <v>40</v>
      </c>
      <c r="AC1" s="7" t="s">
        <v>41</v>
      </c>
      <c r="AD1" s="7" t="s">
        <v>42</v>
      </c>
      <c r="AE1" s="7" t="s">
        <v>43</v>
      </c>
      <c r="AF1" s="7" t="s">
        <v>44</v>
      </c>
      <c r="AG1" s="7" t="s">
        <v>45</v>
      </c>
      <c r="AH1" s="7" t="s">
        <v>46</v>
      </c>
      <c r="AI1" s="7" t="s">
        <v>47</v>
      </c>
      <c r="AJ1" s="7" t="s">
        <v>48</v>
      </c>
      <c r="AK1" s="7" t="s">
        <v>49</v>
      </c>
      <c r="AL1" s="7" t="s">
        <v>50</v>
      </c>
      <c r="AM1" s="8" t="s">
        <v>51</v>
      </c>
      <c r="AN1" s="8" t="s">
        <v>52</v>
      </c>
      <c r="AO1" s="7" t="s">
        <v>2</v>
      </c>
      <c r="AP1" s="7" t="s">
        <v>84</v>
      </c>
      <c r="AQ1" s="9" t="s">
        <v>83</v>
      </c>
    </row>
    <row r="2" spans="1:43" ht="15">
      <c r="A2" s="14" t="s">
        <v>53</v>
      </c>
      <c r="B2" s="14" t="s">
        <v>54</v>
      </c>
      <c r="C2" s="14" t="s">
        <v>5</v>
      </c>
      <c r="D2" s="14" t="s">
        <v>6</v>
      </c>
      <c r="E2" s="18">
        <v>590</v>
      </c>
      <c r="F2" s="14" t="s">
        <v>3</v>
      </c>
      <c r="G2" s="15">
        <v>155</v>
      </c>
      <c r="H2" s="16">
        <v>91450</v>
      </c>
      <c r="I2" s="15">
        <v>0</v>
      </c>
      <c r="J2" s="16">
        <v>0</v>
      </c>
      <c r="K2" s="15">
        <v>0</v>
      </c>
      <c r="L2" s="16">
        <v>0</v>
      </c>
      <c r="M2" s="15">
        <v>0</v>
      </c>
      <c r="N2" s="16">
        <v>0</v>
      </c>
      <c r="O2" s="15">
        <v>0</v>
      </c>
      <c r="P2" s="16">
        <v>0</v>
      </c>
      <c r="Q2" s="15">
        <v>0</v>
      </c>
      <c r="R2" s="16">
        <v>0</v>
      </c>
      <c r="S2" s="15">
        <v>0</v>
      </c>
      <c r="T2" s="16">
        <v>0</v>
      </c>
      <c r="U2" s="15">
        <v>0</v>
      </c>
      <c r="V2" s="16">
        <v>0</v>
      </c>
      <c r="W2" s="15">
        <v>0</v>
      </c>
      <c r="X2" s="16">
        <v>0</v>
      </c>
      <c r="Y2" s="15">
        <v>0</v>
      </c>
      <c r="Z2" s="16">
        <v>0</v>
      </c>
      <c r="AA2" s="15">
        <v>0</v>
      </c>
      <c r="AB2" s="16">
        <v>0</v>
      </c>
      <c r="AC2" s="15">
        <v>0</v>
      </c>
      <c r="AD2" s="16">
        <v>0</v>
      </c>
      <c r="AE2" s="15">
        <v>0</v>
      </c>
      <c r="AF2" s="16">
        <v>0</v>
      </c>
      <c r="AG2" s="15">
        <v>0</v>
      </c>
      <c r="AH2" s="16">
        <v>0</v>
      </c>
      <c r="AI2" s="15">
        <v>0</v>
      </c>
      <c r="AJ2" s="16">
        <v>0</v>
      </c>
      <c r="AK2" s="15">
        <v>155</v>
      </c>
      <c r="AL2" s="16">
        <v>91450</v>
      </c>
      <c r="AM2" s="14" t="s">
        <v>55</v>
      </c>
      <c r="AN2" s="14" t="s">
        <v>56</v>
      </c>
      <c r="AO2" s="11" t="str">
        <f>IF(LEFT(Table13569[[#This Row],[Material]], 9) = "MD06G1103", "G11", IF(LEFT(Table13569[[#This Row],[Material]], 9) = "MD06G1207", "G12", ""))</f>
        <v>G11</v>
      </c>
      <c r="AP2" s="11" t="str">
        <f>MID(Table13569[[#This Row],[Material]],1,13)</f>
        <v>MD06G1103-074</v>
      </c>
      <c r="AQ2" s="11">
        <f>Table13569[[#This Row],['[WT']GR]]/Table13569[[#This Row],[Efficiency(WT)]]</f>
        <v>0</v>
      </c>
    </row>
    <row r="3" spans="1:43" ht="15">
      <c r="A3" s="14" t="s">
        <v>53</v>
      </c>
      <c r="B3" s="14" t="s">
        <v>54</v>
      </c>
      <c r="C3" s="14" t="s">
        <v>5</v>
      </c>
      <c r="D3" s="14" t="s">
        <v>6</v>
      </c>
      <c r="E3" s="18">
        <v>590</v>
      </c>
      <c r="F3" s="14" t="s">
        <v>4</v>
      </c>
      <c r="G3" s="15">
        <v>29</v>
      </c>
      <c r="H3" s="16">
        <v>17110</v>
      </c>
      <c r="I3" s="15">
        <v>0</v>
      </c>
      <c r="J3" s="16">
        <v>0</v>
      </c>
      <c r="K3" s="15">
        <v>0</v>
      </c>
      <c r="L3" s="16">
        <v>0</v>
      </c>
      <c r="M3" s="15">
        <v>0</v>
      </c>
      <c r="N3" s="16">
        <v>0</v>
      </c>
      <c r="O3" s="15">
        <v>0</v>
      </c>
      <c r="P3" s="16">
        <v>0</v>
      </c>
      <c r="Q3" s="15">
        <v>0</v>
      </c>
      <c r="R3" s="16">
        <v>0</v>
      </c>
      <c r="S3" s="15">
        <v>0</v>
      </c>
      <c r="T3" s="16">
        <v>0</v>
      </c>
      <c r="U3" s="15">
        <v>0</v>
      </c>
      <c r="V3" s="16">
        <v>0</v>
      </c>
      <c r="W3" s="15">
        <v>0</v>
      </c>
      <c r="X3" s="16">
        <v>0</v>
      </c>
      <c r="Y3" s="15">
        <v>0</v>
      </c>
      <c r="Z3" s="16">
        <v>0</v>
      </c>
      <c r="AA3" s="15">
        <v>0</v>
      </c>
      <c r="AB3" s="16">
        <v>0</v>
      </c>
      <c r="AC3" s="15">
        <v>0</v>
      </c>
      <c r="AD3" s="16">
        <v>0</v>
      </c>
      <c r="AE3" s="15">
        <v>0</v>
      </c>
      <c r="AF3" s="16">
        <v>0</v>
      </c>
      <c r="AG3" s="15">
        <v>0</v>
      </c>
      <c r="AH3" s="16">
        <v>0</v>
      </c>
      <c r="AI3" s="15">
        <v>0</v>
      </c>
      <c r="AJ3" s="16">
        <v>0</v>
      </c>
      <c r="AK3" s="15">
        <v>29</v>
      </c>
      <c r="AL3" s="16">
        <v>17110</v>
      </c>
      <c r="AM3" s="14" t="s">
        <v>55</v>
      </c>
      <c r="AN3" s="14" t="s">
        <v>56</v>
      </c>
      <c r="AO3" s="11" t="str">
        <f>IF(LEFT(Table13569[[#This Row],[Material]], 9) = "MD06G1103", "G11", IF(LEFT(Table13569[[#This Row],[Material]], 9) = "MD06G1207", "G12", ""))</f>
        <v>G11</v>
      </c>
      <c r="AP3" s="11" t="str">
        <f>MID(Table13569[[#This Row],[Material]],1,13)</f>
        <v>MD06G1103-074</v>
      </c>
      <c r="AQ3" s="11">
        <f>Table13569[[#This Row],['[WT']GR]]/Table13569[[#This Row],[Efficiency(WT)]]</f>
        <v>0</v>
      </c>
    </row>
    <row r="4" spans="1:43" ht="15">
      <c r="A4" s="14" t="s">
        <v>53</v>
      </c>
      <c r="B4" s="14" t="s">
        <v>54</v>
      </c>
      <c r="C4" s="14" t="s">
        <v>7</v>
      </c>
      <c r="D4" s="14" t="s">
        <v>8</v>
      </c>
      <c r="E4" s="18">
        <v>595</v>
      </c>
      <c r="F4" s="14" t="s">
        <v>4</v>
      </c>
      <c r="G4" s="15">
        <v>3</v>
      </c>
      <c r="H4" s="16">
        <v>1785</v>
      </c>
      <c r="I4" s="15">
        <v>0</v>
      </c>
      <c r="J4" s="16">
        <v>0</v>
      </c>
      <c r="K4" s="15">
        <v>0</v>
      </c>
      <c r="L4" s="16">
        <v>0</v>
      </c>
      <c r="M4" s="15">
        <v>0</v>
      </c>
      <c r="N4" s="16">
        <v>0</v>
      </c>
      <c r="O4" s="15">
        <v>0</v>
      </c>
      <c r="P4" s="16">
        <v>0</v>
      </c>
      <c r="Q4" s="15">
        <v>0</v>
      </c>
      <c r="R4" s="16">
        <v>0</v>
      </c>
      <c r="S4" s="15">
        <v>0</v>
      </c>
      <c r="T4" s="16">
        <v>0</v>
      </c>
      <c r="U4" s="15">
        <v>0</v>
      </c>
      <c r="V4" s="16">
        <v>0</v>
      </c>
      <c r="W4" s="15">
        <v>0</v>
      </c>
      <c r="X4" s="16">
        <v>0</v>
      </c>
      <c r="Y4" s="15">
        <v>0</v>
      </c>
      <c r="Z4" s="16">
        <v>0</v>
      </c>
      <c r="AA4" s="15">
        <v>0</v>
      </c>
      <c r="AB4" s="16">
        <v>0</v>
      </c>
      <c r="AC4" s="15">
        <v>0</v>
      </c>
      <c r="AD4" s="16">
        <v>0</v>
      </c>
      <c r="AE4" s="15">
        <v>0</v>
      </c>
      <c r="AF4" s="16">
        <v>0</v>
      </c>
      <c r="AG4" s="15">
        <v>0</v>
      </c>
      <c r="AH4" s="16">
        <v>0</v>
      </c>
      <c r="AI4" s="15">
        <v>0</v>
      </c>
      <c r="AJ4" s="16">
        <v>0</v>
      </c>
      <c r="AK4" s="15">
        <v>3</v>
      </c>
      <c r="AL4" s="16">
        <v>1785</v>
      </c>
      <c r="AM4" s="14" t="s">
        <v>55</v>
      </c>
      <c r="AN4" s="14" t="s">
        <v>56</v>
      </c>
      <c r="AO4" s="11" t="str">
        <f>IF(LEFT(Table13569[[#This Row],[Material]], 9) = "MD06G1103", "G11", IF(LEFT(Table13569[[#This Row],[Material]], 9) = "MD06G1207", "G12", ""))</f>
        <v>G11</v>
      </c>
      <c r="AP4" s="11" t="str">
        <f>MID(Table13569[[#This Row],[Material]],1,13)</f>
        <v>MD06G1103-074</v>
      </c>
      <c r="AQ4" s="11">
        <f>Table13569[[#This Row],['[WT']GR]]/Table13569[[#This Row],[Efficiency(WT)]]</f>
        <v>0</v>
      </c>
    </row>
    <row r="5" spans="1:43" ht="15">
      <c r="A5" s="14" t="s">
        <v>53</v>
      </c>
      <c r="B5" s="14" t="s">
        <v>54</v>
      </c>
      <c r="C5" s="14" t="s">
        <v>57</v>
      </c>
      <c r="D5" s="14" t="s">
        <v>58</v>
      </c>
      <c r="E5" s="18">
        <v>585</v>
      </c>
      <c r="F5" s="14" t="s">
        <v>3</v>
      </c>
      <c r="G5" s="15">
        <v>31</v>
      </c>
      <c r="H5" s="16">
        <v>18135</v>
      </c>
      <c r="I5" s="15">
        <v>0</v>
      </c>
      <c r="J5" s="16">
        <v>0</v>
      </c>
      <c r="K5" s="15">
        <v>0</v>
      </c>
      <c r="L5" s="16">
        <v>0</v>
      </c>
      <c r="M5" s="15">
        <v>0</v>
      </c>
      <c r="N5" s="16">
        <v>0</v>
      </c>
      <c r="O5" s="15">
        <v>0</v>
      </c>
      <c r="P5" s="16">
        <v>0</v>
      </c>
      <c r="Q5" s="15">
        <v>0</v>
      </c>
      <c r="R5" s="16">
        <v>0</v>
      </c>
      <c r="S5" s="15">
        <v>0</v>
      </c>
      <c r="T5" s="16">
        <v>0</v>
      </c>
      <c r="U5" s="15">
        <v>0</v>
      </c>
      <c r="V5" s="16">
        <v>0</v>
      </c>
      <c r="W5" s="15">
        <v>0</v>
      </c>
      <c r="X5" s="16">
        <v>0</v>
      </c>
      <c r="Y5" s="15">
        <v>0</v>
      </c>
      <c r="Z5" s="16">
        <v>0</v>
      </c>
      <c r="AA5" s="15">
        <v>0</v>
      </c>
      <c r="AB5" s="16">
        <v>0</v>
      </c>
      <c r="AC5" s="15">
        <v>0</v>
      </c>
      <c r="AD5" s="16">
        <v>0</v>
      </c>
      <c r="AE5" s="15">
        <v>0</v>
      </c>
      <c r="AF5" s="16">
        <v>0</v>
      </c>
      <c r="AG5" s="15">
        <v>0</v>
      </c>
      <c r="AH5" s="16">
        <v>0</v>
      </c>
      <c r="AI5" s="15">
        <v>0</v>
      </c>
      <c r="AJ5" s="16">
        <v>0</v>
      </c>
      <c r="AK5" s="15">
        <v>31</v>
      </c>
      <c r="AL5" s="16">
        <v>18135</v>
      </c>
      <c r="AM5" s="14" t="s">
        <v>55</v>
      </c>
      <c r="AN5" s="14" t="s">
        <v>56</v>
      </c>
      <c r="AO5" s="11" t="str">
        <f>IF(LEFT(Table13569[[#This Row],[Material]], 9) = "MD06G1103", "G11", IF(LEFT(Table13569[[#This Row],[Material]], 9) = "MD06G1207", "G12", ""))</f>
        <v>G11</v>
      </c>
      <c r="AP5" s="11" t="str">
        <f>MID(Table13569[[#This Row],[Material]],1,13)</f>
        <v>MD06G1103-090</v>
      </c>
      <c r="AQ5" s="11">
        <f>Table13569[[#This Row],['[WT']GR]]/Table13569[[#This Row],[Efficiency(WT)]]</f>
        <v>0</v>
      </c>
    </row>
    <row r="6" spans="1:43" ht="15">
      <c r="A6" s="14" t="s">
        <v>53</v>
      </c>
      <c r="B6" s="14" t="s">
        <v>54</v>
      </c>
      <c r="C6" s="14" t="s">
        <v>9</v>
      </c>
      <c r="D6" s="14" t="s">
        <v>10</v>
      </c>
      <c r="E6" s="18">
        <v>590</v>
      </c>
      <c r="F6" s="14" t="s">
        <v>3</v>
      </c>
      <c r="G6" s="15">
        <v>108</v>
      </c>
      <c r="H6" s="16">
        <v>63720</v>
      </c>
      <c r="I6" s="15">
        <v>0</v>
      </c>
      <c r="J6" s="16">
        <v>0</v>
      </c>
      <c r="K6" s="15">
        <v>0</v>
      </c>
      <c r="L6" s="16">
        <v>0</v>
      </c>
      <c r="M6" s="15">
        <v>0</v>
      </c>
      <c r="N6" s="16">
        <v>0</v>
      </c>
      <c r="O6" s="15">
        <v>0</v>
      </c>
      <c r="P6" s="16">
        <v>0</v>
      </c>
      <c r="Q6" s="15">
        <v>0</v>
      </c>
      <c r="R6" s="16">
        <v>0</v>
      </c>
      <c r="S6" s="15">
        <v>0</v>
      </c>
      <c r="T6" s="16">
        <v>0</v>
      </c>
      <c r="U6" s="15">
        <v>0</v>
      </c>
      <c r="V6" s="16">
        <v>0</v>
      </c>
      <c r="W6" s="15">
        <v>0</v>
      </c>
      <c r="X6" s="16">
        <v>0</v>
      </c>
      <c r="Y6" s="15">
        <v>0</v>
      </c>
      <c r="Z6" s="16">
        <v>0</v>
      </c>
      <c r="AA6" s="15">
        <v>0</v>
      </c>
      <c r="AB6" s="16">
        <v>0</v>
      </c>
      <c r="AC6" s="15">
        <v>0</v>
      </c>
      <c r="AD6" s="16">
        <v>0</v>
      </c>
      <c r="AE6" s="15">
        <v>0</v>
      </c>
      <c r="AF6" s="16">
        <v>0</v>
      </c>
      <c r="AG6" s="15">
        <v>0</v>
      </c>
      <c r="AH6" s="16">
        <v>0</v>
      </c>
      <c r="AI6" s="15">
        <v>0</v>
      </c>
      <c r="AJ6" s="16">
        <v>0</v>
      </c>
      <c r="AK6" s="15">
        <v>108</v>
      </c>
      <c r="AL6" s="16">
        <v>63720</v>
      </c>
      <c r="AM6" s="14" t="s">
        <v>55</v>
      </c>
      <c r="AN6" s="14" t="s">
        <v>56</v>
      </c>
      <c r="AO6" s="11" t="str">
        <f>IF(LEFT(Table13569[[#This Row],[Material]], 9) = "MD06G1103", "G11", IF(LEFT(Table13569[[#This Row],[Material]], 9) = "MD06G1207", "G12", ""))</f>
        <v>G11</v>
      </c>
      <c r="AP6" s="11" t="str">
        <f>MID(Table13569[[#This Row],[Material]],1,13)</f>
        <v>MD06G1103-090</v>
      </c>
      <c r="AQ6" s="11">
        <f>Table13569[[#This Row],['[WT']GR]]/Table13569[[#This Row],[Efficiency(WT)]]</f>
        <v>0</v>
      </c>
    </row>
    <row r="7" spans="1:43" ht="15">
      <c r="A7" s="14" t="s">
        <v>53</v>
      </c>
      <c r="B7" s="14" t="s">
        <v>54</v>
      </c>
      <c r="C7" s="14" t="s">
        <v>9</v>
      </c>
      <c r="D7" s="14" t="s">
        <v>10</v>
      </c>
      <c r="E7" s="18">
        <v>590</v>
      </c>
      <c r="F7" s="14" t="s">
        <v>4</v>
      </c>
      <c r="G7" s="15">
        <v>11</v>
      </c>
      <c r="H7" s="16">
        <v>6490</v>
      </c>
      <c r="I7" s="15">
        <v>0</v>
      </c>
      <c r="J7" s="16">
        <v>0</v>
      </c>
      <c r="K7" s="15">
        <v>0</v>
      </c>
      <c r="L7" s="16">
        <v>0</v>
      </c>
      <c r="M7" s="15">
        <v>0</v>
      </c>
      <c r="N7" s="16">
        <v>0</v>
      </c>
      <c r="O7" s="15">
        <v>0</v>
      </c>
      <c r="P7" s="16">
        <v>0</v>
      </c>
      <c r="Q7" s="15">
        <v>0</v>
      </c>
      <c r="R7" s="16">
        <v>0</v>
      </c>
      <c r="S7" s="15">
        <v>0</v>
      </c>
      <c r="T7" s="16">
        <v>0</v>
      </c>
      <c r="U7" s="15">
        <v>0</v>
      </c>
      <c r="V7" s="16">
        <v>0</v>
      </c>
      <c r="W7" s="15">
        <v>0</v>
      </c>
      <c r="X7" s="16">
        <v>0</v>
      </c>
      <c r="Y7" s="15">
        <v>0</v>
      </c>
      <c r="Z7" s="16">
        <v>0</v>
      </c>
      <c r="AA7" s="15">
        <v>0</v>
      </c>
      <c r="AB7" s="16">
        <v>0</v>
      </c>
      <c r="AC7" s="15">
        <v>0</v>
      </c>
      <c r="AD7" s="16">
        <v>0</v>
      </c>
      <c r="AE7" s="15">
        <v>0</v>
      </c>
      <c r="AF7" s="16">
        <v>0</v>
      </c>
      <c r="AG7" s="15">
        <v>0</v>
      </c>
      <c r="AH7" s="16">
        <v>0</v>
      </c>
      <c r="AI7" s="15">
        <v>0</v>
      </c>
      <c r="AJ7" s="16">
        <v>0</v>
      </c>
      <c r="AK7" s="15">
        <v>11</v>
      </c>
      <c r="AL7" s="16">
        <v>6490</v>
      </c>
      <c r="AM7" s="14" t="s">
        <v>55</v>
      </c>
      <c r="AN7" s="14" t="s">
        <v>56</v>
      </c>
      <c r="AO7" s="11" t="str">
        <f>IF(LEFT(Table13569[[#This Row],[Material]], 9) = "MD06G1103", "G11", IF(LEFT(Table13569[[#This Row],[Material]], 9) = "MD06G1207", "G12", ""))</f>
        <v>G11</v>
      </c>
      <c r="AP7" s="11" t="str">
        <f>MID(Table13569[[#This Row],[Material]],1,13)</f>
        <v>MD06G1103-090</v>
      </c>
      <c r="AQ7" s="11">
        <f>Table13569[[#This Row],['[WT']GR]]/Table13569[[#This Row],[Efficiency(WT)]]</f>
        <v>0</v>
      </c>
    </row>
    <row r="8" spans="1:43" ht="15">
      <c r="A8" s="14" t="s">
        <v>53</v>
      </c>
      <c r="B8" s="14" t="s">
        <v>54</v>
      </c>
      <c r="C8" s="14" t="s">
        <v>13</v>
      </c>
      <c r="D8" s="14" t="s">
        <v>14</v>
      </c>
      <c r="E8" s="18">
        <v>595</v>
      </c>
      <c r="F8" s="14" t="s">
        <v>4</v>
      </c>
      <c r="G8" s="15">
        <v>20</v>
      </c>
      <c r="H8" s="16">
        <v>11900</v>
      </c>
      <c r="I8" s="15">
        <v>0</v>
      </c>
      <c r="J8" s="16">
        <v>0</v>
      </c>
      <c r="K8" s="15">
        <v>0</v>
      </c>
      <c r="L8" s="16">
        <v>0</v>
      </c>
      <c r="M8" s="15">
        <v>0</v>
      </c>
      <c r="N8" s="16">
        <v>0</v>
      </c>
      <c r="O8" s="15">
        <v>0</v>
      </c>
      <c r="P8" s="16">
        <v>0</v>
      </c>
      <c r="Q8" s="15">
        <v>0</v>
      </c>
      <c r="R8" s="16">
        <v>0</v>
      </c>
      <c r="S8" s="15">
        <v>0</v>
      </c>
      <c r="T8" s="16">
        <v>0</v>
      </c>
      <c r="U8" s="15">
        <v>0</v>
      </c>
      <c r="V8" s="16">
        <v>0</v>
      </c>
      <c r="W8" s="15">
        <v>0</v>
      </c>
      <c r="X8" s="16">
        <v>0</v>
      </c>
      <c r="Y8" s="15">
        <v>0</v>
      </c>
      <c r="Z8" s="16">
        <v>0</v>
      </c>
      <c r="AA8" s="15">
        <v>0</v>
      </c>
      <c r="AB8" s="16">
        <v>0</v>
      </c>
      <c r="AC8" s="15">
        <v>0</v>
      </c>
      <c r="AD8" s="16">
        <v>0</v>
      </c>
      <c r="AE8" s="15">
        <v>0</v>
      </c>
      <c r="AF8" s="16">
        <v>0</v>
      </c>
      <c r="AG8" s="15">
        <v>0</v>
      </c>
      <c r="AH8" s="16">
        <v>0</v>
      </c>
      <c r="AI8" s="15">
        <v>0</v>
      </c>
      <c r="AJ8" s="16">
        <v>0</v>
      </c>
      <c r="AK8" s="15">
        <v>20</v>
      </c>
      <c r="AL8" s="16">
        <v>11900</v>
      </c>
      <c r="AM8" s="14" t="s">
        <v>55</v>
      </c>
      <c r="AN8" s="14" t="s">
        <v>56</v>
      </c>
      <c r="AO8" s="11" t="str">
        <f>IF(LEFT(Table13569[[#This Row],[Material]], 9) = "MD06G1103", "G11", IF(LEFT(Table13569[[#This Row],[Material]], 9) = "MD06G1207", "G12", ""))</f>
        <v>G11</v>
      </c>
      <c r="AP8" s="11" t="str">
        <f>MID(Table13569[[#This Row],[Material]],1,13)</f>
        <v>MD06G1103-090</v>
      </c>
      <c r="AQ8" s="11">
        <f>Table13569[[#This Row],['[WT']GR]]/Table13569[[#This Row],[Efficiency(WT)]]</f>
        <v>0</v>
      </c>
    </row>
    <row r="9" spans="1:43" ht="15">
      <c r="A9" s="14" t="s">
        <v>53</v>
      </c>
      <c r="B9" s="14" t="s">
        <v>54</v>
      </c>
      <c r="C9" s="14" t="s">
        <v>11</v>
      </c>
      <c r="D9" s="14" t="s">
        <v>12</v>
      </c>
      <c r="E9" s="18">
        <v>590</v>
      </c>
      <c r="F9" s="14" t="s">
        <v>3</v>
      </c>
      <c r="G9" s="15">
        <v>18</v>
      </c>
      <c r="H9" s="16">
        <v>10620</v>
      </c>
      <c r="I9" s="15">
        <v>0</v>
      </c>
      <c r="J9" s="16">
        <v>0</v>
      </c>
      <c r="K9" s="15">
        <v>0</v>
      </c>
      <c r="L9" s="16">
        <v>0</v>
      </c>
      <c r="M9" s="15">
        <v>0</v>
      </c>
      <c r="N9" s="16">
        <v>0</v>
      </c>
      <c r="O9" s="15">
        <v>0</v>
      </c>
      <c r="P9" s="16">
        <v>0</v>
      </c>
      <c r="Q9" s="15">
        <v>0</v>
      </c>
      <c r="R9" s="16">
        <v>0</v>
      </c>
      <c r="S9" s="15">
        <v>0</v>
      </c>
      <c r="T9" s="16">
        <v>0</v>
      </c>
      <c r="U9" s="15">
        <v>0</v>
      </c>
      <c r="V9" s="16">
        <v>0</v>
      </c>
      <c r="W9" s="15">
        <v>0</v>
      </c>
      <c r="X9" s="16">
        <v>0</v>
      </c>
      <c r="Y9" s="15">
        <v>0</v>
      </c>
      <c r="Z9" s="16">
        <v>0</v>
      </c>
      <c r="AA9" s="15">
        <v>0</v>
      </c>
      <c r="AB9" s="16">
        <v>0</v>
      </c>
      <c r="AC9" s="15">
        <v>0</v>
      </c>
      <c r="AD9" s="16">
        <v>0</v>
      </c>
      <c r="AE9" s="15">
        <v>0</v>
      </c>
      <c r="AF9" s="16">
        <v>0</v>
      </c>
      <c r="AG9" s="15">
        <v>0</v>
      </c>
      <c r="AH9" s="16">
        <v>0</v>
      </c>
      <c r="AI9" s="15">
        <v>0</v>
      </c>
      <c r="AJ9" s="16">
        <v>0</v>
      </c>
      <c r="AK9" s="15">
        <v>18</v>
      </c>
      <c r="AL9" s="16">
        <v>10620</v>
      </c>
      <c r="AM9" s="14" t="s">
        <v>55</v>
      </c>
      <c r="AN9" s="14" t="s">
        <v>56</v>
      </c>
      <c r="AO9" s="11" t="str">
        <f>IF(LEFT(Table13569[[#This Row],[Material]], 9) = "MD06G1103", "G11", IF(LEFT(Table13569[[#This Row],[Material]], 9) = "MD06G1207", "G12", ""))</f>
        <v>G11</v>
      </c>
      <c r="AP9" s="11" t="str">
        <f>MID(Table13569[[#This Row],[Material]],1,13)</f>
        <v>MD06G1103-091</v>
      </c>
      <c r="AQ9" s="11">
        <f>Table13569[[#This Row],['[WT']GR]]/Table13569[[#This Row],[Efficiency(WT)]]</f>
        <v>0</v>
      </c>
    </row>
    <row r="10" spans="1:43" ht="15">
      <c r="A10" s="14" t="s">
        <v>53</v>
      </c>
      <c r="B10" s="14" t="s">
        <v>54</v>
      </c>
      <c r="C10" s="14" t="s">
        <v>61</v>
      </c>
      <c r="D10" s="14" t="s">
        <v>62</v>
      </c>
      <c r="E10" s="18">
        <v>590</v>
      </c>
      <c r="F10" s="14" t="s">
        <v>3</v>
      </c>
      <c r="G10" s="15">
        <v>5</v>
      </c>
      <c r="H10" s="16">
        <v>2950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6">
        <v>0</v>
      </c>
      <c r="O10" s="15">
        <v>0</v>
      </c>
      <c r="P10" s="16">
        <v>0</v>
      </c>
      <c r="Q10" s="15">
        <v>0</v>
      </c>
      <c r="R10" s="16">
        <v>0</v>
      </c>
      <c r="S10" s="15">
        <v>0</v>
      </c>
      <c r="T10" s="16">
        <v>0</v>
      </c>
      <c r="U10" s="15">
        <v>0</v>
      </c>
      <c r="V10" s="16">
        <v>0</v>
      </c>
      <c r="W10" s="15">
        <v>0</v>
      </c>
      <c r="X10" s="16">
        <v>0</v>
      </c>
      <c r="Y10" s="15">
        <v>0</v>
      </c>
      <c r="Z10" s="16">
        <v>0</v>
      </c>
      <c r="AA10" s="15">
        <v>0</v>
      </c>
      <c r="AB10" s="16">
        <v>0</v>
      </c>
      <c r="AC10" s="15">
        <v>0</v>
      </c>
      <c r="AD10" s="16">
        <v>0</v>
      </c>
      <c r="AE10" s="15">
        <v>0</v>
      </c>
      <c r="AF10" s="16">
        <v>0</v>
      </c>
      <c r="AG10" s="15">
        <v>0</v>
      </c>
      <c r="AH10" s="16">
        <v>0</v>
      </c>
      <c r="AI10" s="15">
        <v>0</v>
      </c>
      <c r="AJ10" s="16">
        <v>0</v>
      </c>
      <c r="AK10" s="15">
        <v>5</v>
      </c>
      <c r="AL10" s="16">
        <v>2950</v>
      </c>
      <c r="AM10" s="14" t="s">
        <v>55</v>
      </c>
      <c r="AN10" s="14" t="s">
        <v>56</v>
      </c>
      <c r="AO10" s="11" t="str">
        <f>IF(LEFT(Table13569[[#This Row],[Material]], 9) = "MD06G1103", "G11", IF(LEFT(Table13569[[#This Row],[Material]], 9) = "MD06G1207", "G12", ""))</f>
        <v>G11</v>
      </c>
      <c r="AP10" s="11" t="str">
        <f>MID(Table13569[[#This Row],[Material]],1,13)</f>
        <v>MD06G1103-093</v>
      </c>
      <c r="AQ10" s="11">
        <f>Table13569[[#This Row],['[WT']GR]]/Table13569[[#This Row],[Efficiency(WT)]]</f>
        <v>0</v>
      </c>
    </row>
    <row r="11" spans="1:43" ht="15">
      <c r="A11" s="14" t="s">
        <v>53</v>
      </c>
      <c r="B11" s="14" t="s">
        <v>54</v>
      </c>
      <c r="C11" s="14" t="s">
        <v>78</v>
      </c>
      <c r="D11" s="14" t="s">
        <v>79</v>
      </c>
      <c r="E11" s="18">
        <v>590</v>
      </c>
      <c r="F11" s="14" t="s">
        <v>3</v>
      </c>
      <c r="G11" s="15">
        <v>1</v>
      </c>
      <c r="H11" s="16">
        <v>590</v>
      </c>
      <c r="I11" s="15">
        <v>0</v>
      </c>
      <c r="J11" s="16">
        <v>0</v>
      </c>
      <c r="K11" s="15">
        <v>0</v>
      </c>
      <c r="L11" s="16">
        <v>0</v>
      </c>
      <c r="M11" s="15">
        <v>0</v>
      </c>
      <c r="N11" s="16">
        <v>0</v>
      </c>
      <c r="O11" s="15">
        <v>0</v>
      </c>
      <c r="P11" s="16">
        <v>0</v>
      </c>
      <c r="Q11" s="15">
        <v>0</v>
      </c>
      <c r="R11" s="16">
        <v>0</v>
      </c>
      <c r="S11" s="15">
        <v>0</v>
      </c>
      <c r="T11" s="16">
        <v>0</v>
      </c>
      <c r="U11" s="15">
        <v>0</v>
      </c>
      <c r="V11" s="16">
        <v>0</v>
      </c>
      <c r="W11" s="15">
        <v>0</v>
      </c>
      <c r="X11" s="16">
        <v>0</v>
      </c>
      <c r="Y11" s="15">
        <v>0</v>
      </c>
      <c r="Z11" s="16">
        <v>0</v>
      </c>
      <c r="AA11" s="15">
        <v>0</v>
      </c>
      <c r="AB11" s="16">
        <v>0</v>
      </c>
      <c r="AC11" s="15">
        <v>0</v>
      </c>
      <c r="AD11" s="16">
        <v>0</v>
      </c>
      <c r="AE11" s="15">
        <v>0</v>
      </c>
      <c r="AF11" s="16">
        <v>0</v>
      </c>
      <c r="AG11" s="15">
        <v>0</v>
      </c>
      <c r="AH11" s="16">
        <v>0</v>
      </c>
      <c r="AI11" s="15">
        <v>0</v>
      </c>
      <c r="AJ11" s="16">
        <v>0</v>
      </c>
      <c r="AK11" s="15">
        <v>1</v>
      </c>
      <c r="AL11" s="16">
        <v>590</v>
      </c>
      <c r="AM11" s="14" t="s">
        <v>55</v>
      </c>
      <c r="AN11" s="14" t="s">
        <v>56</v>
      </c>
      <c r="AO11" s="11" t="str">
        <f>IF(LEFT(Table13569[[#This Row],[Material]], 9) = "MD06G1103", "G11", IF(LEFT(Table13569[[#This Row],[Material]], 9) = "MD06G1207", "G12", ""))</f>
        <v>G11</v>
      </c>
      <c r="AP11" s="11" t="str">
        <f>MID(Table13569[[#This Row],[Material]],1,13)</f>
        <v>MD06G1103-096</v>
      </c>
      <c r="AQ11" s="11">
        <f>Table13569[[#This Row],['[WT']GR]]/Table13569[[#This Row],[Efficiency(WT)]]</f>
        <v>0</v>
      </c>
    </row>
    <row r="12" spans="1:43" ht="15">
      <c r="A12" s="14" t="s">
        <v>53</v>
      </c>
      <c r="B12" s="14" t="s">
        <v>54</v>
      </c>
      <c r="C12" s="14" t="s">
        <v>87</v>
      </c>
      <c r="D12" s="14" t="s">
        <v>88</v>
      </c>
      <c r="E12" s="18">
        <v>590</v>
      </c>
      <c r="F12" s="14" t="s">
        <v>3</v>
      </c>
      <c r="G12" s="15">
        <v>2</v>
      </c>
      <c r="H12" s="16">
        <v>1180</v>
      </c>
      <c r="I12" s="15">
        <v>0</v>
      </c>
      <c r="J12" s="16">
        <v>0</v>
      </c>
      <c r="K12" s="15">
        <v>0</v>
      </c>
      <c r="L12" s="16">
        <v>0</v>
      </c>
      <c r="M12" s="15">
        <v>0</v>
      </c>
      <c r="N12" s="16">
        <v>0</v>
      </c>
      <c r="O12" s="15">
        <v>0</v>
      </c>
      <c r="P12" s="16">
        <v>0</v>
      </c>
      <c r="Q12" s="15">
        <v>0</v>
      </c>
      <c r="R12" s="16">
        <v>0</v>
      </c>
      <c r="S12" s="15">
        <v>0</v>
      </c>
      <c r="T12" s="16">
        <v>0</v>
      </c>
      <c r="U12" s="15">
        <v>0</v>
      </c>
      <c r="V12" s="16">
        <v>0</v>
      </c>
      <c r="W12" s="15">
        <v>0</v>
      </c>
      <c r="X12" s="16">
        <v>0</v>
      </c>
      <c r="Y12" s="15">
        <v>0</v>
      </c>
      <c r="Z12" s="16">
        <v>0</v>
      </c>
      <c r="AA12" s="15">
        <v>0</v>
      </c>
      <c r="AB12" s="16">
        <v>0</v>
      </c>
      <c r="AC12" s="15">
        <v>0</v>
      </c>
      <c r="AD12" s="16">
        <v>0</v>
      </c>
      <c r="AE12" s="15">
        <v>0</v>
      </c>
      <c r="AF12" s="16">
        <v>0</v>
      </c>
      <c r="AG12" s="15">
        <v>0</v>
      </c>
      <c r="AH12" s="16">
        <v>0</v>
      </c>
      <c r="AI12" s="15">
        <v>0</v>
      </c>
      <c r="AJ12" s="16">
        <v>0</v>
      </c>
      <c r="AK12" s="15">
        <v>2</v>
      </c>
      <c r="AL12" s="16">
        <v>1180</v>
      </c>
      <c r="AM12" s="14" t="s">
        <v>55</v>
      </c>
      <c r="AN12" s="14" t="s">
        <v>56</v>
      </c>
      <c r="AO12" s="11" t="str">
        <f>IF(LEFT(Table13569[[#This Row],[Material]], 9) = "MD06G1103", "G11", IF(LEFT(Table13569[[#This Row],[Material]], 9) = "MD06G1207", "G12", ""))</f>
        <v>G11</v>
      </c>
      <c r="AP12" s="11" t="str">
        <f>MID(Table13569[[#This Row],[Material]],1,13)</f>
        <v>MD06G1103-098</v>
      </c>
      <c r="AQ12" s="11">
        <f>Table13569[[#This Row],['[WT']GR]]/Table13569[[#This Row],[Efficiency(WT)]]</f>
        <v>0</v>
      </c>
    </row>
    <row r="13" spans="1:43" ht="15">
      <c r="A13" s="14" t="s">
        <v>53</v>
      </c>
      <c r="B13" s="14" t="s">
        <v>54</v>
      </c>
      <c r="C13" s="14" t="s">
        <v>87</v>
      </c>
      <c r="D13" s="14" t="s">
        <v>88</v>
      </c>
      <c r="E13" s="18">
        <v>590</v>
      </c>
      <c r="F13" s="14" t="s">
        <v>4</v>
      </c>
      <c r="G13" s="15">
        <v>1</v>
      </c>
      <c r="H13" s="16">
        <v>590</v>
      </c>
      <c r="I13" s="15">
        <v>0</v>
      </c>
      <c r="J13" s="16">
        <v>0</v>
      </c>
      <c r="K13" s="15">
        <v>0</v>
      </c>
      <c r="L13" s="16">
        <v>0</v>
      </c>
      <c r="M13" s="15">
        <v>0</v>
      </c>
      <c r="N13" s="16">
        <v>0</v>
      </c>
      <c r="O13" s="15">
        <v>0</v>
      </c>
      <c r="P13" s="16">
        <v>0</v>
      </c>
      <c r="Q13" s="15">
        <v>0</v>
      </c>
      <c r="R13" s="16">
        <v>0</v>
      </c>
      <c r="S13" s="15">
        <v>0</v>
      </c>
      <c r="T13" s="16">
        <v>0</v>
      </c>
      <c r="U13" s="15">
        <v>0</v>
      </c>
      <c r="V13" s="16">
        <v>0</v>
      </c>
      <c r="W13" s="15">
        <v>0</v>
      </c>
      <c r="X13" s="16">
        <v>0</v>
      </c>
      <c r="Y13" s="15">
        <v>0</v>
      </c>
      <c r="Z13" s="16">
        <v>0</v>
      </c>
      <c r="AA13" s="15">
        <v>0</v>
      </c>
      <c r="AB13" s="16">
        <v>0</v>
      </c>
      <c r="AC13" s="15">
        <v>1</v>
      </c>
      <c r="AD13" s="16">
        <v>590</v>
      </c>
      <c r="AE13" s="15">
        <v>0</v>
      </c>
      <c r="AF13" s="16">
        <v>0</v>
      </c>
      <c r="AG13" s="15">
        <v>0</v>
      </c>
      <c r="AH13" s="16">
        <v>0</v>
      </c>
      <c r="AI13" s="15">
        <v>1</v>
      </c>
      <c r="AJ13" s="16">
        <v>590</v>
      </c>
      <c r="AK13" s="15">
        <v>0</v>
      </c>
      <c r="AL13" s="16">
        <v>0</v>
      </c>
      <c r="AM13" s="14" t="s">
        <v>55</v>
      </c>
      <c r="AN13" s="14" t="s">
        <v>56</v>
      </c>
      <c r="AO13" s="11" t="str">
        <f>IF(LEFT(Table13569[[#This Row],[Material]], 9) = "MD06G1103", "G11", IF(LEFT(Table13569[[#This Row],[Material]], 9) = "MD06G1207", "G12", ""))</f>
        <v>G11</v>
      </c>
      <c r="AP13" s="11" t="str">
        <f>MID(Table13569[[#This Row],[Material]],1,13)</f>
        <v>MD06G1103-098</v>
      </c>
      <c r="AQ13" s="11">
        <f>Table13569[[#This Row],['[WT']GR]]/Table13569[[#This Row],[Efficiency(WT)]]</f>
        <v>0</v>
      </c>
    </row>
    <row r="14" spans="1:43" ht="15">
      <c r="A14" s="14" t="s">
        <v>59</v>
      </c>
      <c r="B14" s="14" t="s">
        <v>54</v>
      </c>
      <c r="C14" s="14" t="s">
        <v>89</v>
      </c>
      <c r="D14" s="14" t="s">
        <v>90</v>
      </c>
      <c r="E14" s="18"/>
      <c r="F14" s="14" t="s">
        <v>68</v>
      </c>
      <c r="G14" s="15">
        <v>0</v>
      </c>
      <c r="H14" s="16">
        <v>0</v>
      </c>
      <c r="I14" s="15">
        <v>4185</v>
      </c>
      <c r="J14" s="16">
        <v>0</v>
      </c>
      <c r="K14" s="15">
        <v>0</v>
      </c>
      <c r="L14" s="16">
        <v>0</v>
      </c>
      <c r="M14" s="15">
        <v>0</v>
      </c>
      <c r="N14" s="16">
        <v>0</v>
      </c>
      <c r="O14" s="15">
        <v>0</v>
      </c>
      <c r="P14" s="16">
        <v>0</v>
      </c>
      <c r="Q14" s="15">
        <v>0</v>
      </c>
      <c r="R14" s="16">
        <v>0</v>
      </c>
      <c r="S14" s="15">
        <v>4185</v>
      </c>
      <c r="T14" s="16">
        <v>0</v>
      </c>
      <c r="U14" s="15">
        <v>4185</v>
      </c>
      <c r="V14" s="16">
        <v>0</v>
      </c>
      <c r="W14" s="15">
        <v>0</v>
      </c>
      <c r="X14" s="16">
        <v>0</v>
      </c>
      <c r="Y14" s="15">
        <v>0</v>
      </c>
      <c r="Z14" s="16">
        <v>0</v>
      </c>
      <c r="AA14" s="15">
        <v>0</v>
      </c>
      <c r="AB14" s="16">
        <v>0</v>
      </c>
      <c r="AC14" s="15">
        <v>0</v>
      </c>
      <c r="AD14" s="16">
        <v>0</v>
      </c>
      <c r="AE14" s="15">
        <v>0</v>
      </c>
      <c r="AF14" s="16">
        <v>0</v>
      </c>
      <c r="AG14" s="15">
        <v>0</v>
      </c>
      <c r="AH14" s="16">
        <v>0</v>
      </c>
      <c r="AI14" s="15">
        <v>4185</v>
      </c>
      <c r="AJ14" s="16">
        <v>0</v>
      </c>
      <c r="AK14" s="15">
        <v>0</v>
      </c>
      <c r="AL14" s="16">
        <v>0</v>
      </c>
      <c r="AM14" s="14" t="s">
        <v>55</v>
      </c>
      <c r="AN14" s="14" t="s">
        <v>56</v>
      </c>
      <c r="AO14" s="11" t="str">
        <f>IF(LEFT(Table13569[[#This Row],[Material]], 9) = "MD06G1103", "G11", IF(LEFT(Table13569[[#This Row],[Material]], 9) = "MD06G1207", "G12", ""))</f>
        <v>G11</v>
      </c>
      <c r="AP14" s="11" t="str">
        <f>MID(Table13569[[#This Row],[Material]],1,13)</f>
        <v>MD06G1103-101</v>
      </c>
      <c r="AQ14" s="11" t="e">
        <f>Table13569[[#This Row],['[WT']GR]]/Table13569[[#This Row],[Efficiency(WT)]]</f>
        <v>#DIV/0!</v>
      </c>
    </row>
    <row r="15" spans="1:43" ht="15">
      <c r="A15" s="14" t="s">
        <v>53</v>
      </c>
      <c r="B15" s="14" t="s">
        <v>54</v>
      </c>
      <c r="C15" s="14" t="s">
        <v>91</v>
      </c>
      <c r="D15" s="14" t="s">
        <v>92</v>
      </c>
      <c r="E15" s="18">
        <v>590</v>
      </c>
      <c r="F15" s="14" t="s">
        <v>3</v>
      </c>
      <c r="G15" s="15">
        <v>1614</v>
      </c>
      <c r="H15" s="16">
        <v>952260</v>
      </c>
      <c r="I15" s="15">
        <v>4185</v>
      </c>
      <c r="J15" s="16">
        <v>2469150</v>
      </c>
      <c r="K15" s="15">
        <v>0</v>
      </c>
      <c r="L15" s="16">
        <v>0</v>
      </c>
      <c r="M15" s="15">
        <v>0</v>
      </c>
      <c r="N15" s="16">
        <v>0</v>
      </c>
      <c r="O15" s="15">
        <v>0</v>
      </c>
      <c r="P15" s="16">
        <v>0</v>
      </c>
      <c r="Q15" s="15">
        <v>0</v>
      </c>
      <c r="R15" s="16">
        <v>0</v>
      </c>
      <c r="S15" s="15">
        <v>4185</v>
      </c>
      <c r="T15" s="16">
        <v>2469150</v>
      </c>
      <c r="U15" s="15">
        <v>0</v>
      </c>
      <c r="V15" s="16">
        <v>0</v>
      </c>
      <c r="W15" s="15">
        <v>0</v>
      </c>
      <c r="X15" s="16">
        <v>0</v>
      </c>
      <c r="Y15" s="15">
        <v>0</v>
      </c>
      <c r="Z15" s="16">
        <v>0</v>
      </c>
      <c r="AA15" s="15">
        <v>0</v>
      </c>
      <c r="AB15" s="16">
        <v>0</v>
      </c>
      <c r="AC15" s="15">
        <v>3999</v>
      </c>
      <c r="AD15" s="16">
        <v>2359410</v>
      </c>
      <c r="AE15" s="15">
        <v>0</v>
      </c>
      <c r="AF15" s="16">
        <v>0</v>
      </c>
      <c r="AG15" s="15">
        <v>0</v>
      </c>
      <c r="AH15" s="16">
        <v>0</v>
      </c>
      <c r="AI15" s="15">
        <v>3999</v>
      </c>
      <c r="AJ15" s="16">
        <v>2359410</v>
      </c>
      <c r="AK15" s="15">
        <v>1800</v>
      </c>
      <c r="AL15" s="16">
        <v>1062000</v>
      </c>
      <c r="AM15" s="14" t="s">
        <v>55</v>
      </c>
      <c r="AN15" s="14" t="s">
        <v>56</v>
      </c>
      <c r="AO15" s="11" t="str">
        <f>IF(LEFT(Table13569[[#This Row],[Material]], 9) = "MD06G1103", "G11", IF(LEFT(Table13569[[#This Row],[Material]], 9) = "MD06G1207", "G12", ""))</f>
        <v>G11</v>
      </c>
      <c r="AP15" s="11" t="str">
        <f>MID(Table13569[[#This Row],[Material]],1,13)</f>
        <v>MD06G1103-101</v>
      </c>
      <c r="AQ15" s="11">
        <f>Table13569[[#This Row],['[WT']GR]]/Table13569[[#This Row],[Efficiency(WT)]]</f>
        <v>4185</v>
      </c>
    </row>
    <row r="16" spans="1:43" ht="15">
      <c r="A16" s="14" t="s">
        <v>53</v>
      </c>
      <c r="B16" s="14" t="s">
        <v>54</v>
      </c>
      <c r="C16" s="14" t="s">
        <v>91</v>
      </c>
      <c r="D16" s="14" t="s">
        <v>92</v>
      </c>
      <c r="E16" s="18">
        <v>590</v>
      </c>
      <c r="F16" s="14" t="s">
        <v>4</v>
      </c>
      <c r="G16" s="15">
        <v>56</v>
      </c>
      <c r="H16" s="16">
        <v>33040</v>
      </c>
      <c r="I16" s="15">
        <v>0</v>
      </c>
      <c r="J16" s="16">
        <v>0</v>
      </c>
      <c r="K16" s="15">
        <v>0</v>
      </c>
      <c r="L16" s="16">
        <v>0</v>
      </c>
      <c r="M16" s="15">
        <v>0</v>
      </c>
      <c r="N16" s="16">
        <v>0</v>
      </c>
      <c r="O16" s="15">
        <v>0</v>
      </c>
      <c r="P16" s="16">
        <v>0</v>
      </c>
      <c r="Q16" s="15">
        <v>0</v>
      </c>
      <c r="R16" s="16">
        <v>0</v>
      </c>
      <c r="S16" s="15">
        <v>0</v>
      </c>
      <c r="T16" s="16">
        <v>0</v>
      </c>
      <c r="U16" s="15">
        <v>0</v>
      </c>
      <c r="V16" s="16">
        <v>0</v>
      </c>
      <c r="W16" s="15">
        <v>0</v>
      </c>
      <c r="X16" s="16">
        <v>0</v>
      </c>
      <c r="Y16" s="15">
        <v>0</v>
      </c>
      <c r="Z16" s="16">
        <v>0</v>
      </c>
      <c r="AA16" s="15">
        <v>0</v>
      </c>
      <c r="AB16" s="16">
        <v>0</v>
      </c>
      <c r="AC16" s="15">
        <v>25</v>
      </c>
      <c r="AD16" s="16">
        <v>14750</v>
      </c>
      <c r="AE16" s="15">
        <v>0</v>
      </c>
      <c r="AF16" s="16">
        <v>0</v>
      </c>
      <c r="AG16" s="15">
        <v>0</v>
      </c>
      <c r="AH16" s="16">
        <v>0</v>
      </c>
      <c r="AI16" s="15">
        <v>25</v>
      </c>
      <c r="AJ16" s="16">
        <v>14750</v>
      </c>
      <c r="AK16" s="15">
        <v>31</v>
      </c>
      <c r="AL16" s="16">
        <v>18290</v>
      </c>
      <c r="AM16" s="14" t="s">
        <v>55</v>
      </c>
      <c r="AN16" s="14" t="s">
        <v>56</v>
      </c>
      <c r="AO16" s="11" t="str">
        <f>IF(LEFT(Table13569[[#This Row],[Material]], 9) = "MD06G1103", "G11", IF(LEFT(Table13569[[#This Row],[Material]], 9) = "MD06G1207", "G12", ""))</f>
        <v>G11</v>
      </c>
      <c r="AP16" s="11" t="str">
        <f>MID(Table13569[[#This Row],[Material]],1,13)</f>
        <v>MD06G1103-101</v>
      </c>
      <c r="AQ16" s="11">
        <f>Table13569[[#This Row],['[WT']GR]]/Table13569[[#This Row],[Efficiency(WT)]]</f>
        <v>0</v>
      </c>
    </row>
    <row r="17" spans="1:43" ht="15">
      <c r="A17" s="14" t="s">
        <v>53</v>
      </c>
      <c r="B17" s="14" t="s">
        <v>54</v>
      </c>
      <c r="C17" s="14" t="s">
        <v>93</v>
      </c>
      <c r="D17" s="14" t="s">
        <v>94</v>
      </c>
      <c r="E17" s="18">
        <v>595</v>
      </c>
      <c r="F17" s="14" t="s">
        <v>4</v>
      </c>
      <c r="G17" s="15">
        <v>2</v>
      </c>
      <c r="H17" s="16">
        <v>1190</v>
      </c>
      <c r="I17" s="15">
        <v>0</v>
      </c>
      <c r="J17" s="16">
        <v>0</v>
      </c>
      <c r="K17" s="15">
        <v>0</v>
      </c>
      <c r="L17" s="16">
        <v>0</v>
      </c>
      <c r="M17" s="15">
        <v>0</v>
      </c>
      <c r="N17" s="16">
        <v>0</v>
      </c>
      <c r="O17" s="15">
        <v>0</v>
      </c>
      <c r="P17" s="16">
        <v>0</v>
      </c>
      <c r="Q17" s="15">
        <v>0</v>
      </c>
      <c r="R17" s="16">
        <v>0</v>
      </c>
      <c r="S17" s="15">
        <v>0</v>
      </c>
      <c r="T17" s="16">
        <v>0</v>
      </c>
      <c r="U17" s="15">
        <v>0</v>
      </c>
      <c r="V17" s="16">
        <v>0</v>
      </c>
      <c r="W17" s="15">
        <v>0</v>
      </c>
      <c r="X17" s="16">
        <v>0</v>
      </c>
      <c r="Y17" s="15">
        <v>0</v>
      </c>
      <c r="Z17" s="16">
        <v>0</v>
      </c>
      <c r="AA17" s="15">
        <v>0</v>
      </c>
      <c r="AB17" s="16">
        <v>0</v>
      </c>
      <c r="AC17" s="15">
        <v>0</v>
      </c>
      <c r="AD17" s="16">
        <v>0</v>
      </c>
      <c r="AE17" s="15">
        <v>0</v>
      </c>
      <c r="AF17" s="16">
        <v>0</v>
      </c>
      <c r="AG17" s="15">
        <v>0</v>
      </c>
      <c r="AH17" s="16">
        <v>0</v>
      </c>
      <c r="AI17" s="15">
        <v>0</v>
      </c>
      <c r="AJ17" s="16">
        <v>0</v>
      </c>
      <c r="AK17" s="15">
        <v>2</v>
      </c>
      <c r="AL17" s="16">
        <v>1190</v>
      </c>
      <c r="AM17" s="14" t="s">
        <v>55</v>
      </c>
      <c r="AN17" s="14" t="s">
        <v>56</v>
      </c>
      <c r="AO17" s="11" t="str">
        <f>IF(LEFT(Table13569[[#This Row],[Material]], 9) = "MD06G1103", "G11", IF(LEFT(Table13569[[#This Row],[Material]], 9) = "MD06G1207", "G12", ""))</f>
        <v>G11</v>
      </c>
      <c r="AP17" s="11" t="str">
        <f>MID(Table13569[[#This Row],[Material]],1,13)</f>
        <v>MD06G1103-101</v>
      </c>
      <c r="AQ17" s="11">
        <f>Table13569[[#This Row],['[WT']GR]]/Table13569[[#This Row],[Efficiency(WT)]]</f>
        <v>0</v>
      </c>
    </row>
    <row r="18" spans="1:43" ht="15">
      <c r="A18" s="14" t="s">
        <v>59</v>
      </c>
      <c r="B18" s="14" t="s">
        <v>54</v>
      </c>
      <c r="C18" s="14" t="s">
        <v>97</v>
      </c>
      <c r="D18" s="14" t="s">
        <v>98</v>
      </c>
      <c r="E18" s="18"/>
      <c r="F18" s="14" t="s">
        <v>68</v>
      </c>
      <c r="G18" s="15">
        <v>0</v>
      </c>
      <c r="H18" s="16">
        <v>0</v>
      </c>
      <c r="I18" s="15">
        <v>31</v>
      </c>
      <c r="J18" s="16">
        <v>0</v>
      </c>
      <c r="K18" s="15">
        <v>0</v>
      </c>
      <c r="L18" s="16">
        <v>0</v>
      </c>
      <c r="M18" s="15">
        <v>0</v>
      </c>
      <c r="N18" s="16">
        <v>0</v>
      </c>
      <c r="O18" s="15">
        <v>0</v>
      </c>
      <c r="P18" s="16">
        <v>0</v>
      </c>
      <c r="Q18" s="15">
        <v>0</v>
      </c>
      <c r="R18" s="16">
        <v>0</v>
      </c>
      <c r="S18" s="15">
        <v>31</v>
      </c>
      <c r="T18" s="16">
        <v>0</v>
      </c>
      <c r="U18" s="15">
        <v>31</v>
      </c>
      <c r="V18" s="16">
        <v>0</v>
      </c>
      <c r="W18" s="15">
        <v>0</v>
      </c>
      <c r="X18" s="16">
        <v>0</v>
      </c>
      <c r="Y18" s="15">
        <v>0</v>
      </c>
      <c r="Z18" s="16">
        <v>0</v>
      </c>
      <c r="AA18" s="15">
        <v>0</v>
      </c>
      <c r="AB18" s="16">
        <v>0</v>
      </c>
      <c r="AC18" s="15">
        <v>0</v>
      </c>
      <c r="AD18" s="16">
        <v>0</v>
      </c>
      <c r="AE18" s="15">
        <v>0</v>
      </c>
      <c r="AF18" s="16">
        <v>0</v>
      </c>
      <c r="AG18" s="15">
        <v>0</v>
      </c>
      <c r="AH18" s="16">
        <v>0</v>
      </c>
      <c r="AI18" s="15">
        <v>31</v>
      </c>
      <c r="AJ18" s="16">
        <v>0</v>
      </c>
      <c r="AK18" s="15">
        <v>0</v>
      </c>
      <c r="AL18" s="16">
        <v>0</v>
      </c>
      <c r="AM18" s="14" t="s">
        <v>55</v>
      </c>
      <c r="AN18" s="14" t="s">
        <v>56</v>
      </c>
      <c r="AO18" s="11" t="str">
        <f>IF(LEFT(Table13569[[#This Row],[Material]], 9) = "MD06G1103", "G11", IF(LEFT(Table13569[[#This Row],[Material]], 9) = "MD06G1207", "G12", ""))</f>
        <v>G11</v>
      </c>
      <c r="AP18" s="11" t="str">
        <f>MID(Table13569[[#This Row],[Material]],1,13)</f>
        <v>MD06G1103-103</v>
      </c>
      <c r="AQ18" s="11" t="e">
        <f>Table13569[[#This Row],['[WT']GR]]/Table13569[[#This Row],[Efficiency(WT)]]</f>
        <v>#DIV/0!</v>
      </c>
    </row>
    <row r="19" spans="1:43" ht="15">
      <c r="A19" s="14" t="s">
        <v>53</v>
      </c>
      <c r="B19" s="14" t="s">
        <v>54</v>
      </c>
      <c r="C19" s="14" t="s">
        <v>95</v>
      </c>
      <c r="D19" s="14" t="s">
        <v>96</v>
      </c>
      <c r="E19" s="18">
        <v>590</v>
      </c>
      <c r="F19" s="14" t="s">
        <v>3</v>
      </c>
      <c r="G19" s="15">
        <v>0</v>
      </c>
      <c r="H19" s="16">
        <v>0</v>
      </c>
      <c r="I19" s="15">
        <v>31</v>
      </c>
      <c r="J19" s="16">
        <v>18290</v>
      </c>
      <c r="K19" s="15">
        <v>0</v>
      </c>
      <c r="L19" s="16">
        <v>0</v>
      </c>
      <c r="M19" s="15">
        <v>0</v>
      </c>
      <c r="N19" s="16">
        <v>0</v>
      </c>
      <c r="O19" s="15">
        <v>0</v>
      </c>
      <c r="P19" s="16">
        <v>0</v>
      </c>
      <c r="Q19" s="15">
        <v>0</v>
      </c>
      <c r="R19" s="16">
        <v>0</v>
      </c>
      <c r="S19" s="15">
        <v>31</v>
      </c>
      <c r="T19" s="16">
        <v>18290</v>
      </c>
      <c r="U19" s="15">
        <v>0</v>
      </c>
      <c r="V19" s="16">
        <v>0</v>
      </c>
      <c r="W19" s="15">
        <v>0</v>
      </c>
      <c r="X19" s="16">
        <v>0</v>
      </c>
      <c r="Y19" s="15">
        <v>0</v>
      </c>
      <c r="Z19" s="16">
        <v>0</v>
      </c>
      <c r="AA19" s="15">
        <v>0</v>
      </c>
      <c r="AB19" s="16">
        <v>0</v>
      </c>
      <c r="AC19" s="15">
        <v>31</v>
      </c>
      <c r="AD19" s="16">
        <v>18290</v>
      </c>
      <c r="AE19" s="15">
        <v>0</v>
      </c>
      <c r="AF19" s="16">
        <v>0</v>
      </c>
      <c r="AG19" s="15">
        <v>0</v>
      </c>
      <c r="AH19" s="16">
        <v>0</v>
      </c>
      <c r="AI19" s="15">
        <v>31</v>
      </c>
      <c r="AJ19" s="16">
        <v>18290</v>
      </c>
      <c r="AK19" s="15">
        <v>0</v>
      </c>
      <c r="AL19" s="16">
        <v>0</v>
      </c>
      <c r="AM19" s="14" t="s">
        <v>55</v>
      </c>
      <c r="AN19" s="14" t="s">
        <v>56</v>
      </c>
      <c r="AO19" s="11" t="str">
        <f>IF(LEFT(Table13569[[#This Row],[Material]], 9) = "MD06G1103", "G11", IF(LEFT(Table13569[[#This Row],[Material]], 9) = "MD06G1207", "G12", ""))</f>
        <v>G11</v>
      </c>
      <c r="AP19" s="11" t="str">
        <f>MID(Table13569[[#This Row],[Material]],1,13)</f>
        <v>MD06G1103-103</v>
      </c>
      <c r="AQ19" s="11">
        <f>Table13569[[#This Row],['[WT']GR]]/Table13569[[#This Row],[Efficiency(WT)]]</f>
        <v>31</v>
      </c>
    </row>
    <row r="20" spans="1:43" ht="15">
      <c r="A20" s="14" t="s">
        <v>53</v>
      </c>
      <c r="B20" s="14" t="s">
        <v>54</v>
      </c>
      <c r="C20" s="14" t="s">
        <v>95</v>
      </c>
      <c r="D20" s="14" t="s">
        <v>96</v>
      </c>
      <c r="E20" s="18">
        <v>590</v>
      </c>
      <c r="F20" s="14" t="s">
        <v>4</v>
      </c>
      <c r="G20" s="15">
        <v>4</v>
      </c>
      <c r="H20" s="16">
        <v>2360</v>
      </c>
      <c r="I20" s="15">
        <v>0</v>
      </c>
      <c r="J20" s="16">
        <v>0</v>
      </c>
      <c r="K20" s="15">
        <v>0</v>
      </c>
      <c r="L20" s="16">
        <v>0</v>
      </c>
      <c r="M20" s="15">
        <v>0</v>
      </c>
      <c r="N20" s="16">
        <v>0</v>
      </c>
      <c r="O20" s="15">
        <v>0</v>
      </c>
      <c r="P20" s="16">
        <v>0</v>
      </c>
      <c r="Q20" s="15">
        <v>0</v>
      </c>
      <c r="R20" s="16">
        <v>0</v>
      </c>
      <c r="S20" s="15">
        <v>0</v>
      </c>
      <c r="T20" s="16">
        <v>0</v>
      </c>
      <c r="U20" s="15">
        <v>0</v>
      </c>
      <c r="V20" s="16">
        <v>0</v>
      </c>
      <c r="W20" s="15">
        <v>0</v>
      </c>
      <c r="X20" s="16">
        <v>0</v>
      </c>
      <c r="Y20" s="15">
        <v>0</v>
      </c>
      <c r="Z20" s="16">
        <v>0</v>
      </c>
      <c r="AA20" s="15">
        <v>0</v>
      </c>
      <c r="AB20" s="16">
        <v>0</v>
      </c>
      <c r="AC20" s="15">
        <v>4</v>
      </c>
      <c r="AD20" s="16">
        <v>2360</v>
      </c>
      <c r="AE20" s="15">
        <v>0</v>
      </c>
      <c r="AF20" s="16">
        <v>0</v>
      </c>
      <c r="AG20" s="15">
        <v>0</v>
      </c>
      <c r="AH20" s="16">
        <v>0</v>
      </c>
      <c r="AI20" s="15">
        <v>4</v>
      </c>
      <c r="AJ20" s="16">
        <v>2360</v>
      </c>
      <c r="AK20" s="15">
        <v>0</v>
      </c>
      <c r="AL20" s="16">
        <v>0</v>
      </c>
      <c r="AM20" s="14" t="s">
        <v>55</v>
      </c>
      <c r="AN20" s="14" t="s">
        <v>56</v>
      </c>
      <c r="AO20" s="11" t="str">
        <f>IF(LEFT(Table13569[[#This Row],[Material]], 9) = "MD06G1103", "G11", IF(LEFT(Table13569[[#This Row],[Material]], 9) = "MD06G1207", "G12", ""))</f>
        <v>G11</v>
      </c>
      <c r="AP20" s="11" t="str">
        <f>MID(Table13569[[#This Row],[Material]],1,13)</f>
        <v>MD06G1103-103</v>
      </c>
      <c r="AQ20" s="11">
        <f>Table13569[[#This Row],['[WT']GR]]/Table13569[[#This Row],[Efficiency(WT)]]</f>
        <v>0</v>
      </c>
    </row>
    <row r="21" spans="1:43" ht="15">
      <c r="A21" s="14" t="s">
        <v>53</v>
      </c>
      <c r="B21" s="14" t="s">
        <v>54</v>
      </c>
      <c r="C21" s="14" t="s">
        <v>99</v>
      </c>
      <c r="D21" s="14" t="s">
        <v>100</v>
      </c>
      <c r="E21" s="18">
        <v>595</v>
      </c>
      <c r="F21" s="14" t="s">
        <v>4</v>
      </c>
      <c r="G21" s="15">
        <v>1</v>
      </c>
      <c r="H21" s="16">
        <v>595</v>
      </c>
      <c r="I21" s="15">
        <v>0</v>
      </c>
      <c r="J21" s="16">
        <v>0</v>
      </c>
      <c r="K21" s="15">
        <v>0</v>
      </c>
      <c r="L21" s="16">
        <v>0</v>
      </c>
      <c r="M21" s="15">
        <v>0</v>
      </c>
      <c r="N21" s="16">
        <v>0</v>
      </c>
      <c r="O21" s="15">
        <v>0</v>
      </c>
      <c r="P21" s="16">
        <v>0</v>
      </c>
      <c r="Q21" s="15">
        <v>0</v>
      </c>
      <c r="R21" s="16">
        <v>0</v>
      </c>
      <c r="S21" s="15">
        <v>0</v>
      </c>
      <c r="T21" s="16">
        <v>0</v>
      </c>
      <c r="U21" s="15">
        <v>0</v>
      </c>
      <c r="V21" s="16">
        <v>0</v>
      </c>
      <c r="W21" s="15">
        <v>0</v>
      </c>
      <c r="X21" s="16">
        <v>0</v>
      </c>
      <c r="Y21" s="15">
        <v>0</v>
      </c>
      <c r="Z21" s="16">
        <v>0</v>
      </c>
      <c r="AA21" s="15">
        <v>0</v>
      </c>
      <c r="AB21" s="16">
        <v>0</v>
      </c>
      <c r="AC21" s="15">
        <v>1</v>
      </c>
      <c r="AD21" s="16">
        <v>595</v>
      </c>
      <c r="AE21" s="15">
        <v>0</v>
      </c>
      <c r="AF21" s="16">
        <v>0</v>
      </c>
      <c r="AG21" s="15">
        <v>0</v>
      </c>
      <c r="AH21" s="16">
        <v>0</v>
      </c>
      <c r="AI21" s="15">
        <v>1</v>
      </c>
      <c r="AJ21" s="16">
        <v>595</v>
      </c>
      <c r="AK21" s="15">
        <v>0</v>
      </c>
      <c r="AL21" s="16">
        <v>0</v>
      </c>
      <c r="AM21" s="14" t="s">
        <v>55</v>
      </c>
      <c r="AN21" s="14" t="s">
        <v>56</v>
      </c>
      <c r="AO21" s="11" t="str">
        <f>IF(LEFT(Table13569[[#This Row],[Material]], 9) = "MD06G1103", "G11", IF(LEFT(Table13569[[#This Row],[Material]], 9) = "MD06G1207", "G12", ""))</f>
        <v>G11</v>
      </c>
      <c r="AP21" s="11" t="str">
        <f>MID(Table13569[[#This Row],[Material]],1,13)</f>
        <v>MD06G1103-103</v>
      </c>
      <c r="AQ21" s="11">
        <f>Table13569[[#This Row],['[WT']GR]]/Table13569[[#This Row],[Efficiency(WT)]]</f>
        <v>0</v>
      </c>
    </row>
    <row r="22" spans="1:43" ht="15">
      <c r="A22" s="14" t="s">
        <v>59</v>
      </c>
      <c r="B22" s="14" t="s">
        <v>54</v>
      </c>
      <c r="C22" s="14" t="s">
        <v>101</v>
      </c>
      <c r="D22" s="14" t="s">
        <v>102</v>
      </c>
      <c r="E22" s="18" t="s">
        <v>68</v>
      </c>
      <c r="F22" s="14" t="s">
        <v>68</v>
      </c>
      <c r="G22" s="15">
        <v>0</v>
      </c>
      <c r="H22" s="16">
        <v>0</v>
      </c>
      <c r="I22" s="15">
        <v>3224</v>
      </c>
      <c r="J22" s="16">
        <v>0</v>
      </c>
      <c r="K22" s="15">
        <v>0</v>
      </c>
      <c r="L22" s="16">
        <v>0</v>
      </c>
      <c r="M22" s="15">
        <v>0</v>
      </c>
      <c r="N22" s="16">
        <v>0</v>
      </c>
      <c r="O22" s="15">
        <v>0</v>
      </c>
      <c r="P22" s="16">
        <v>0</v>
      </c>
      <c r="Q22" s="15">
        <v>0</v>
      </c>
      <c r="R22" s="16">
        <v>0</v>
      </c>
      <c r="S22" s="15">
        <v>3224</v>
      </c>
      <c r="T22" s="16">
        <v>0</v>
      </c>
      <c r="U22" s="15">
        <v>3224</v>
      </c>
      <c r="V22" s="16">
        <v>0</v>
      </c>
      <c r="W22" s="15">
        <v>0</v>
      </c>
      <c r="X22" s="16">
        <v>0</v>
      </c>
      <c r="Y22" s="15">
        <v>0</v>
      </c>
      <c r="Z22" s="16">
        <v>0</v>
      </c>
      <c r="AA22" s="15">
        <v>0</v>
      </c>
      <c r="AB22" s="16">
        <v>0</v>
      </c>
      <c r="AC22" s="15">
        <v>0</v>
      </c>
      <c r="AD22" s="16">
        <v>0</v>
      </c>
      <c r="AE22" s="15">
        <v>0</v>
      </c>
      <c r="AF22" s="16">
        <v>0</v>
      </c>
      <c r="AG22" s="15">
        <v>0</v>
      </c>
      <c r="AH22" s="16">
        <v>0</v>
      </c>
      <c r="AI22" s="15">
        <v>3224</v>
      </c>
      <c r="AJ22" s="16">
        <v>0</v>
      </c>
      <c r="AK22" s="15">
        <v>0</v>
      </c>
      <c r="AL22" s="16">
        <v>0</v>
      </c>
      <c r="AM22" s="14" t="s">
        <v>55</v>
      </c>
      <c r="AN22" s="14" t="s">
        <v>56</v>
      </c>
      <c r="AO22" s="11" t="str">
        <f>IF(LEFT(Table13569[[#This Row],[Material]], 9) = "MD06G1103", "G11", IF(LEFT(Table13569[[#This Row],[Material]], 9) = "MD06G1207", "G12", ""))</f>
        <v/>
      </c>
      <c r="AP22" s="11" t="str">
        <f>MID(Table13569[[#This Row],[Material]],1,13)</f>
        <v>MD06G1203-003</v>
      </c>
      <c r="AQ22" s="11" t="e">
        <f>Table13569[[#This Row],['[WT']GR]]/Table13569[[#This Row],[Efficiency(WT)]]</f>
        <v>#VALUE!</v>
      </c>
    </row>
    <row r="23" spans="1:43" ht="15">
      <c r="A23" s="14" t="s">
        <v>53</v>
      </c>
      <c r="B23" s="14" t="s">
        <v>54</v>
      </c>
      <c r="C23" s="14" t="s">
        <v>103</v>
      </c>
      <c r="D23" s="14" t="s">
        <v>104</v>
      </c>
      <c r="E23" s="18">
        <v>650</v>
      </c>
      <c r="F23" s="14" t="s">
        <v>3</v>
      </c>
      <c r="G23" s="15">
        <v>31</v>
      </c>
      <c r="H23" s="16">
        <v>20150</v>
      </c>
      <c r="I23" s="15">
        <v>465</v>
      </c>
      <c r="J23" s="16">
        <v>302250</v>
      </c>
      <c r="K23" s="15">
        <v>0</v>
      </c>
      <c r="L23" s="16">
        <v>0</v>
      </c>
      <c r="M23" s="15">
        <v>0</v>
      </c>
      <c r="N23" s="16">
        <v>0</v>
      </c>
      <c r="O23" s="15">
        <v>0</v>
      </c>
      <c r="P23" s="16">
        <v>0</v>
      </c>
      <c r="Q23" s="15">
        <v>0</v>
      </c>
      <c r="R23" s="16">
        <v>0</v>
      </c>
      <c r="S23" s="15">
        <v>465</v>
      </c>
      <c r="T23" s="16">
        <v>302250</v>
      </c>
      <c r="U23" s="15">
        <v>0</v>
      </c>
      <c r="V23" s="16">
        <v>0</v>
      </c>
      <c r="W23" s="15">
        <v>0</v>
      </c>
      <c r="X23" s="16">
        <v>0</v>
      </c>
      <c r="Y23" s="15">
        <v>0</v>
      </c>
      <c r="Z23" s="16">
        <v>0</v>
      </c>
      <c r="AA23" s="15">
        <v>0</v>
      </c>
      <c r="AB23" s="16">
        <v>0</v>
      </c>
      <c r="AC23" s="15">
        <v>310</v>
      </c>
      <c r="AD23" s="16">
        <v>201500</v>
      </c>
      <c r="AE23" s="15">
        <v>0</v>
      </c>
      <c r="AF23" s="16">
        <v>0</v>
      </c>
      <c r="AG23" s="15">
        <v>0</v>
      </c>
      <c r="AH23" s="16">
        <v>0</v>
      </c>
      <c r="AI23" s="15">
        <v>310</v>
      </c>
      <c r="AJ23" s="16">
        <v>201500</v>
      </c>
      <c r="AK23" s="15">
        <v>186</v>
      </c>
      <c r="AL23" s="16">
        <v>120900</v>
      </c>
      <c r="AM23" s="14" t="s">
        <v>55</v>
      </c>
      <c r="AN23" s="14" t="s">
        <v>56</v>
      </c>
      <c r="AO23" s="11" t="str">
        <f>IF(LEFT(Table13569[[#This Row],[Material]], 9) = "MD06G1103", "G11", IF(LEFT(Table13569[[#This Row],[Material]], 9) = "MD06G1207", "G12", ""))</f>
        <v/>
      </c>
      <c r="AP23" s="11" t="str">
        <f>MID(Table13569[[#This Row],[Material]],1,13)</f>
        <v>MD06G1203-003</v>
      </c>
      <c r="AQ23" s="11">
        <f>Table13569[[#This Row],['[WT']GR]]/Table13569[[#This Row],[Efficiency(WT)]]</f>
        <v>465</v>
      </c>
    </row>
    <row r="24" spans="1:43" ht="15">
      <c r="A24" s="14" t="s">
        <v>53</v>
      </c>
      <c r="B24" s="14" t="s">
        <v>54</v>
      </c>
      <c r="C24" s="14" t="s">
        <v>103</v>
      </c>
      <c r="D24" s="14" t="s">
        <v>104</v>
      </c>
      <c r="E24" s="18">
        <v>650</v>
      </c>
      <c r="F24" s="14" t="s">
        <v>4</v>
      </c>
      <c r="G24" s="15">
        <v>7</v>
      </c>
      <c r="H24" s="16">
        <v>4550</v>
      </c>
      <c r="I24" s="15">
        <v>31</v>
      </c>
      <c r="J24" s="16">
        <v>20150</v>
      </c>
      <c r="K24" s="15">
        <v>0</v>
      </c>
      <c r="L24" s="16">
        <v>0</v>
      </c>
      <c r="M24" s="15">
        <v>0</v>
      </c>
      <c r="N24" s="16">
        <v>0</v>
      </c>
      <c r="O24" s="15">
        <v>0</v>
      </c>
      <c r="P24" s="16">
        <v>0</v>
      </c>
      <c r="Q24" s="15">
        <v>0</v>
      </c>
      <c r="R24" s="16">
        <v>0</v>
      </c>
      <c r="S24" s="15">
        <v>31</v>
      </c>
      <c r="T24" s="16">
        <v>20150</v>
      </c>
      <c r="U24" s="15">
        <v>0</v>
      </c>
      <c r="V24" s="16">
        <v>0</v>
      </c>
      <c r="W24" s="15">
        <v>0</v>
      </c>
      <c r="X24" s="16">
        <v>0</v>
      </c>
      <c r="Y24" s="15">
        <v>0</v>
      </c>
      <c r="Z24" s="16">
        <v>0</v>
      </c>
      <c r="AA24" s="15">
        <v>0</v>
      </c>
      <c r="AB24" s="16">
        <v>0</v>
      </c>
      <c r="AC24" s="15">
        <v>20</v>
      </c>
      <c r="AD24" s="16">
        <v>13000</v>
      </c>
      <c r="AE24" s="15">
        <v>0</v>
      </c>
      <c r="AF24" s="16">
        <v>0</v>
      </c>
      <c r="AG24" s="15">
        <v>0</v>
      </c>
      <c r="AH24" s="16">
        <v>0</v>
      </c>
      <c r="AI24" s="15">
        <v>20</v>
      </c>
      <c r="AJ24" s="16">
        <v>13000</v>
      </c>
      <c r="AK24" s="15">
        <v>18</v>
      </c>
      <c r="AL24" s="16">
        <v>11700</v>
      </c>
      <c r="AM24" s="14" t="s">
        <v>55</v>
      </c>
      <c r="AN24" s="14" t="s">
        <v>56</v>
      </c>
      <c r="AO24" s="11" t="str">
        <f>IF(LEFT(Table13569[[#This Row],[Material]], 9) = "MD06G1103", "G11", IF(LEFT(Table13569[[#This Row],[Material]], 9) = "MD06G1207", "G12", ""))</f>
        <v/>
      </c>
      <c r="AP24" s="11" t="str">
        <f>MID(Table13569[[#This Row],[Material]],1,13)</f>
        <v>MD06G1203-003</v>
      </c>
      <c r="AQ24" s="11">
        <f>Table13569[[#This Row],['[WT']GR]]/Table13569[[#This Row],[Efficiency(WT)]]</f>
        <v>31</v>
      </c>
    </row>
    <row r="25" spans="1:43" ht="15">
      <c r="A25" s="14" t="s">
        <v>53</v>
      </c>
      <c r="B25" s="14" t="s">
        <v>54</v>
      </c>
      <c r="C25" s="14" t="s">
        <v>105</v>
      </c>
      <c r="D25" s="14" t="s">
        <v>106</v>
      </c>
      <c r="E25" s="18">
        <v>655</v>
      </c>
      <c r="F25" s="14" t="s">
        <v>3</v>
      </c>
      <c r="G25" s="15">
        <v>1364</v>
      </c>
      <c r="H25" s="16">
        <v>893420</v>
      </c>
      <c r="I25" s="15">
        <v>2604</v>
      </c>
      <c r="J25" s="16">
        <v>1705620</v>
      </c>
      <c r="K25" s="15">
        <v>0</v>
      </c>
      <c r="L25" s="16">
        <v>0</v>
      </c>
      <c r="M25" s="15">
        <v>0</v>
      </c>
      <c r="N25" s="16">
        <v>0</v>
      </c>
      <c r="O25" s="15">
        <v>0</v>
      </c>
      <c r="P25" s="16">
        <v>0</v>
      </c>
      <c r="Q25" s="15">
        <v>0</v>
      </c>
      <c r="R25" s="16">
        <v>0</v>
      </c>
      <c r="S25" s="15">
        <v>2604</v>
      </c>
      <c r="T25" s="16">
        <v>1705620</v>
      </c>
      <c r="U25" s="15">
        <v>0</v>
      </c>
      <c r="V25" s="16">
        <v>0</v>
      </c>
      <c r="W25" s="15">
        <v>0</v>
      </c>
      <c r="X25" s="16">
        <v>0</v>
      </c>
      <c r="Y25" s="15">
        <v>0</v>
      </c>
      <c r="Z25" s="16">
        <v>0</v>
      </c>
      <c r="AA25" s="15">
        <v>0</v>
      </c>
      <c r="AB25" s="16">
        <v>0</v>
      </c>
      <c r="AC25" s="15">
        <v>2852</v>
      </c>
      <c r="AD25" s="16">
        <v>1868060</v>
      </c>
      <c r="AE25" s="15">
        <v>0</v>
      </c>
      <c r="AF25" s="16">
        <v>0</v>
      </c>
      <c r="AG25" s="15">
        <v>0</v>
      </c>
      <c r="AH25" s="16">
        <v>0</v>
      </c>
      <c r="AI25" s="15">
        <v>2852</v>
      </c>
      <c r="AJ25" s="16">
        <v>1868060</v>
      </c>
      <c r="AK25" s="15">
        <v>1116</v>
      </c>
      <c r="AL25" s="16">
        <v>730980</v>
      </c>
      <c r="AM25" s="14" t="s">
        <v>55</v>
      </c>
      <c r="AN25" s="14" t="s">
        <v>56</v>
      </c>
      <c r="AO25" s="11" t="str">
        <f>IF(LEFT(Table13569[[#This Row],[Material]], 9) = "MD06G1103", "G11", IF(LEFT(Table13569[[#This Row],[Material]], 9) = "MD06G1207", "G12", ""))</f>
        <v/>
      </c>
      <c r="AP25" s="11" t="str">
        <f>MID(Table13569[[#This Row],[Material]],1,13)</f>
        <v>MD06G1203-003</v>
      </c>
      <c r="AQ25" s="11">
        <f>Table13569[[#This Row],['[WT']GR]]/Table13569[[#This Row],[Efficiency(WT)]]</f>
        <v>2604</v>
      </c>
    </row>
    <row r="26" spans="1:43" ht="15">
      <c r="A26" s="14" t="s">
        <v>53</v>
      </c>
      <c r="B26" s="14" t="s">
        <v>54</v>
      </c>
      <c r="C26" s="14" t="s">
        <v>105</v>
      </c>
      <c r="D26" s="14" t="s">
        <v>106</v>
      </c>
      <c r="E26" s="18">
        <v>655</v>
      </c>
      <c r="F26" s="14" t="s">
        <v>4</v>
      </c>
      <c r="G26" s="15">
        <v>52</v>
      </c>
      <c r="H26" s="16">
        <v>34060</v>
      </c>
      <c r="I26" s="15">
        <v>122</v>
      </c>
      <c r="J26" s="16">
        <v>79910</v>
      </c>
      <c r="K26" s="15">
        <v>0</v>
      </c>
      <c r="L26" s="16">
        <v>0</v>
      </c>
      <c r="M26" s="15">
        <v>0</v>
      </c>
      <c r="N26" s="16">
        <v>0</v>
      </c>
      <c r="O26" s="15">
        <v>0</v>
      </c>
      <c r="P26" s="16">
        <v>0</v>
      </c>
      <c r="Q26" s="15">
        <v>0</v>
      </c>
      <c r="R26" s="16">
        <v>0</v>
      </c>
      <c r="S26" s="15">
        <v>122</v>
      </c>
      <c r="T26" s="16">
        <v>79910</v>
      </c>
      <c r="U26" s="15">
        <v>0</v>
      </c>
      <c r="V26" s="16">
        <v>0</v>
      </c>
      <c r="W26" s="15">
        <v>0</v>
      </c>
      <c r="X26" s="16">
        <v>0</v>
      </c>
      <c r="Y26" s="15">
        <v>0</v>
      </c>
      <c r="Z26" s="16">
        <v>0</v>
      </c>
      <c r="AA26" s="15">
        <v>0</v>
      </c>
      <c r="AB26" s="16">
        <v>0</v>
      </c>
      <c r="AC26" s="15">
        <v>98</v>
      </c>
      <c r="AD26" s="16">
        <v>64190</v>
      </c>
      <c r="AE26" s="15">
        <v>0</v>
      </c>
      <c r="AF26" s="16">
        <v>0</v>
      </c>
      <c r="AG26" s="15">
        <v>0</v>
      </c>
      <c r="AH26" s="16">
        <v>0</v>
      </c>
      <c r="AI26" s="15">
        <v>98</v>
      </c>
      <c r="AJ26" s="16">
        <v>64190</v>
      </c>
      <c r="AK26" s="15">
        <v>76</v>
      </c>
      <c r="AL26" s="16">
        <v>49780</v>
      </c>
      <c r="AM26" s="14" t="s">
        <v>55</v>
      </c>
      <c r="AN26" s="14" t="s">
        <v>56</v>
      </c>
      <c r="AO26" s="11" t="str">
        <f>IF(LEFT(Table13569[[#This Row],[Material]], 9) = "MD06G1103", "G11", IF(LEFT(Table13569[[#This Row],[Material]], 9) = "MD06G1207", "G12", ""))</f>
        <v/>
      </c>
      <c r="AP26" s="11" t="str">
        <f>MID(Table13569[[#This Row],[Material]],1,13)</f>
        <v>MD06G1203-003</v>
      </c>
      <c r="AQ26" s="11">
        <f>Table13569[[#This Row],['[WT']GR]]/Table13569[[#This Row],[Efficiency(WT)]]</f>
        <v>122</v>
      </c>
    </row>
    <row r="27" spans="1:43" ht="15">
      <c r="A27" s="14" t="s">
        <v>53</v>
      </c>
      <c r="B27" s="14" t="s">
        <v>54</v>
      </c>
      <c r="C27" s="14" t="s">
        <v>107</v>
      </c>
      <c r="D27" s="14" t="s">
        <v>108</v>
      </c>
      <c r="E27" s="18">
        <v>660</v>
      </c>
      <c r="F27" s="14" t="s">
        <v>3</v>
      </c>
      <c r="G27" s="15">
        <v>93</v>
      </c>
      <c r="H27" s="16">
        <v>61380</v>
      </c>
      <c r="I27" s="15">
        <v>0</v>
      </c>
      <c r="J27" s="16">
        <v>0</v>
      </c>
      <c r="K27" s="15">
        <v>0</v>
      </c>
      <c r="L27" s="16">
        <v>0</v>
      </c>
      <c r="M27" s="15">
        <v>0</v>
      </c>
      <c r="N27" s="16">
        <v>0</v>
      </c>
      <c r="O27" s="15">
        <v>0</v>
      </c>
      <c r="P27" s="16">
        <v>0</v>
      </c>
      <c r="Q27" s="15">
        <v>0</v>
      </c>
      <c r="R27" s="16">
        <v>0</v>
      </c>
      <c r="S27" s="15">
        <v>0</v>
      </c>
      <c r="T27" s="16">
        <v>0</v>
      </c>
      <c r="U27" s="15">
        <v>0</v>
      </c>
      <c r="V27" s="16">
        <v>0</v>
      </c>
      <c r="W27" s="15">
        <v>0</v>
      </c>
      <c r="X27" s="16">
        <v>0</v>
      </c>
      <c r="Y27" s="15">
        <v>0</v>
      </c>
      <c r="Z27" s="16">
        <v>0</v>
      </c>
      <c r="AA27" s="15">
        <v>0</v>
      </c>
      <c r="AB27" s="16">
        <v>0</v>
      </c>
      <c r="AC27" s="15">
        <v>93</v>
      </c>
      <c r="AD27" s="16">
        <v>61380</v>
      </c>
      <c r="AE27" s="15">
        <v>0</v>
      </c>
      <c r="AF27" s="16">
        <v>0</v>
      </c>
      <c r="AG27" s="15">
        <v>0</v>
      </c>
      <c r="AH27" s="16">
        <v>0</v>
      </c>
      <c r="AI27" s="15">
        <v>93</v>
      </c>
      <c r="AJ27" s="16">
        <v>61380</v>
      </c>
      <c r="AK27" s="15">
        <v>0</v>
      </c>
      <c r="AL27" s="16">
        <v>0</v>
      </c>
      <c r="AM27" s="14" t="s">
        <v>55</v>
      </c>
      <c r="AN27" s="14" t="s">
        <v>56</v>
      </c>
      <c r="AO27" s="11" t="str">
        <f>IF(LEFT(Table13569[[#This Row],[Material]], 9) = "MD06G1103", "G11", IF(LEFT(Table13569[[#This Row],[Material]], 9) = "MD06G1207", "G12", ""))</f>
        <v/>
      </c>
      <c r="AP27" s="11" t="str">
        <f>MID(Table13569[[#This Row],[Material]],1,13)</f>
        <v>MD06G1203-003</v>
      </c>
      <c r="AQ27" s="11">
        <f>Table13569[[#This Row],['[WT']GR]]/Table13569[[#This Row],[Efficiency(WT)]]</f>
        <v>0</v>
      </c>
    </row>
    <row r="28" spans="1:43" ht="15">
      <c r="A28" s="14" t="s">
        <v>53</v>
      </c>
      <c r="B28" s="14" t="s">
        <v>54</v>
      </c>
      <c r="C28" s="14" t="s">
        <v>107</v>
      </c>
      <c r="D28" s="14" t="s">
        <v>108</v>
      </c>
      <c r="E28" s="18">
        <v>660</v>
      </c>
      <c r="F28" s="14" t="s">
        <v>4</v>
      </c>
      <c r="G28" s="15">
        <v>5</v>
      </c>
      <c r="H28" s="16">
        <v>3300</v>
      </c>
      <c r="I28" s="15">
        <v>2</v>
      </c>
      <c r="J28" s="16">
        <v>1320</v>
      </c>
      <c r="K28" s="15">
        <v>0</v>
      </c>
      <c r="L28" s="16">
        <v>0</v>
      </c>
      <c r="M28" s="15">
        <v>0</v>
      </c>
      <c r="N28" s="16">
        <v>0</v>
      </c>
      <c r="O28" s="15">
        <v>0</v>
      </c>
      <c r="P28" s="16">
        <v>0</v>
      </c>
      <c r="Q28" s="15">
        <v>0</v>
      </c>
      <c r="R28" s="16">
        <v>0</v>
      </c>
      <c r="S28" s="15">
        <v>2</v>
      </c>
      <c r="T28" s="16">
        <v>1320</v>
      </c>
      <c r="U28" s="15">
        <v>0</v>
      </c>
      <c r="V28" s="16">
        <v>0</v>
      </c>
      <c r="W28" s="15">
        <v>0</v>
      </c>
      <c r="X28" s="16">
        <v>0</v>
      </c>
      <c r="Y28" s="15">
        <v>0</v>
      </c>
      <c r="Z28" s="16">
        <v>0</v>
      </c>
      <c r="AA28" s="15">
        <v>0</v>
      </c>
      <c r="AB28" s="16">
        <v>0</v>
      </c>
      <c r="AC28" s="15">
        <v>6</v>
      </c>
      <c r="AD28" s="16">
        <v>3960</v>
      </c>
      <c r="AE28" s="15">
        <v>0</v>
      </c>
      <c r="AF28" s="16">
        <v>0</v>
      </c>
      <c r="AG28" s="15">
        <v>0</v>
      </c>
      <c r="AH28" s="16">
        <v>0</v>
      </c>
      <c r="AI28" s="15">
        <v>6</v>
      </c>
      <c r="AJ28" s="16">
        <v>3960</v>
      </c>
      <c r="AK28" s="15">
        <v>1</v>
      </c>
      <c r="AL28" s="16">
        <v>660</v>
      </c>
      <c r="AM28" s="14" t="s">
        <v>55</v>
      </c>
      <c r="AN28" s="14" t="s">
        <v>56</v>
      </c>
      <c r="AO28" s="11" t="str">
        <f>IF(LEFT(Table13569[[#This Row],[Material]], 9) = "MD06G1103", "G11", IF(LEFT(Table13569[[#This Row],[Material]], 9) = "MD06G1207", "G12", ""))</f>
        <v/>
      </c>
      <c r="AP28" s="11" t="str">
        <f>MID(Table13569[[#This Row],[Material]],1,13)</f>
        <v>MD06G1203-003</v>
      </c>
      <c r="AQ28" s="11">
        <f>Table13569[[#This Row],['[WT']GR]]/Table13569[[#This Row],[Efficiency(WT)]]</f>
        <v>2</v>
      </c>
    </row>
    <row r="29" spans="1:43" ht="15">
      <c r="A29" s="14" t="s">
        <v>53</v>
      </c>
      <c r="B29" s="14" t="s">
        <v>54</v>
      </c>
      <c r="C29" s="14" t="s">
        <v>69</v>
      </c>
      <c r="D29" s="14" t="s">
        <v>70</v>
      </c>
      <c r="E29" s="18">
        <v>660</v>
      </c>
      <c r="F29" s="14" t="s">
        <v>3</v>
      </c>
      <c r="G29" s="15">
        <v>14</v>
      </c>
      <c r="H29" s="16">
        <v>9240</v>
      </c>
      <c r="I29" s="15">
        <v>0</v>
      </c>
      <c r="J29" s="16">
        <v>0</v>
      </c>
      <c r="K29" s="15">
        <v>0</v>
      </c>
      <c r="L29" s="16">
        <v>0</v>
      </c>
      <c r="M29" s="15">
        <v>0</v>
      </c>
      <c r="N29" s="16">
        <v>0</v>
      </c>
      <c r="O29" s="15">
        <v>0</v>
      </c>
      <c r="P29" s="16">
        <v>0</v>
      </c>
      <c r="Q29" s="15">
        <v>0</v>
      </c>
      <c r="R29" s="16">
        <v>0</v>
      </c>
      <c r="S29" s="15">
        <v>0</v>
      </c>
      <c r="T29" s="16">
        <v>0</v>
      </c>
      <c r="U29" s="15">
        <v>0</v>
      </c>
      <c r="V29" s="16">
        <v>0</v>
      </c>
      <c r="W29" s="15">
        <v>0</v>
      </c>
      <c r="X29" s="16">
        <v>0</v>
      </c>
      <c r="Y29" s="15">
        <v>0</v>
      </c>
      <c r="Z29" s="16">
        <v>0</v>
      </c>
      <c r="AA29" s="15">
        <v>0</v>
      </c>
      <c r="AB29" s="16">
        <v>0</v>
      </c>
      <c r="AC29" s="15">
        <v>0</v>
      </c>
      <c r="AD29" s="16">
        <v>0</v>
      </c>
      <c r="AE29" s="15">
        <v>0</v>
      </c>
      <c r="AF29" s="16">
        <v>0</v>
      </c>
      <c r="AG29" s="15">
        <v>0</v>
      </c>
      <c r="AH29" s="16">
        <v>0</v>
      </c>
      <c r="AI29" s="15">
        <v>0</v>
      </c>
      <c r="AJ29" s="16">
        <v>0</v>
      </c>
      <c r="AK29" s="15">
        <v>14</v>
      </c>
      <c r="AL29" s="16">
        <v>9240</v>
      </c>
      <c r="AM29" s="14" t="s">
        <v>55</v>
      </c>
      <c r="AN29" s="14" t="s">
        <v>56</v>
      </c>
      <c r="AO29" s="11" t="str">
        <f>IF(LEFT(Table13569[[#This Row],[Material]], 9) = "MD06G1103", "G11", IF(LEFT(Table13569[[#This Row],[Material]], 9) = "MD06G1207", "G12", ""))</f>
        <v>G12</v>
      </c>
      <c r="AP29" s="11" t="str">
        <f>MID(Table13569[[#This Row],[Material]],1,13)</f>
        <v>MD06G1207-001</v>
      </c>
      <c r="AQ29" s="11">
        <f>Table13569[[#This Row],['[WT']GR]]/Table13569[[#This Row],[Efficiency(WT)]]</f>
        <v>0</v>
      </c>
    </row>
    <row r="30" spans="1:43" ht="15">
      <c r="A30" s="14" t="s">
        <v>53</v>
      </c>
      <c r="B30" s="14" t="s">
        <v>54</v>
      </c>
      <c r="C30" s="14" t="s">
        <v>69</v>
      </c>
      <c r="D30" s="14" t="s">
        <v>70</v>
      </c>
      <c r="E30" s="18">
        <v>660</v>
      </c>
      <c r="F30" s="14" t="s">
        <v>72</v>
      </c>
      <c r="G30" s="15">
        <v>8</v>
      </c>
      <c r="H30" s="16">
        <v>5280</v>
      </c>
      <c r="I30" s="15">
        <v>0</v>
      </c>
      <c r="J30" s="16">
        <v>0</v>
      </c>
      <c r="K30" s="15">
        <v>0</v>
      </c>
      <c r="L30" s="16">
        <v>0</v>
      </c>
      <c r="M30" s="15">
        <v>0</v>
      </c>
      <c r="N30" s="16">
        <v>0</v>
      </c>
      <c r="O30" s="15">
        <v>0</v>
      </c>
      <c r="P30" s="16">
        <v>0</v>
      </c>
      <c r="Q30" s="15">
        <v>0</v>
      </c>
      <c r="R30" s="16">
        <v>0</v>
      </c>
      <c r="S30" s="15">
        <v>0</v>
      </c>
      <c r="T30" s="16">
        <v>0</v>
      </c>
      <c r="U30" s="15">
        <v>0</v>
      </c>
      <c r="V30" s="16">
        <v>0</v>
      </c>
      <c r="W30" s="15">
        <v>0</v>
      </c>
      <c r="X30" s="16">
        <v>0</v>
      </c>
      <c r="Y30" s="15">
        <v>0</v>
      </c>
      <c r="Z30" s="16">
        <v>0</v>
      </c>
      <c r="AA30" s="15">
        <v>0</v>
      </c>
      <c r="AB30" s="16">
        <v>0</v>
      </c>
      <c r="AC30" s="15">
        <v>0</v>
      </c>
      <c r="AD30" s="16">
        <v>0</v>
      </c>
      <c r="AE30" s="15">
        <v>0</v>
      </c>
      <c r="AF30" s="16">
        <v>0</v>
      </c>
      <c r="AG30" s="15">
        <v>0</v>
      </c>
      <c r="AH30" s="16">
        <v>0</v>
      </c>
      <c r="AI30" s="15">
        <v>0</v>
      </c>
      <c r="AJ30" s="16">
        <v>0</v>
      </c>
      <c r="AK30" s="15">
        <v>8</v>
      </c>
      <c r="AL30" s="16">
        <v>5280</v>
      </c>
      <c r="AM30" s="14" t="s">
        <v>55</v>
      </c>
      <c r="AN30" s="14" t="s">
        <v>56</v>
      </c>
      <c r="AO30" s="11" t="str">
        <f>IF(LEFT(Table13569[[#This Row],[Material]], 9) = "MD06G1103", "G11", IF(LEFT(Table13569[[#This Row],[Material]], 9) = "MD06G1207", "G12", ""))</f>
        <v>G12</v>
      </c>
      <c r="AP30" s="11" t="str">
        <f>MID(Table13569[[#This Row],[Material]],1,13)</f>
        <v>MD06G1207-001</v>
      </c>
      <c r="AQ30" s="11">
        <f>Table13569[[#This Row],['[WT']GR]]/Table13569[[#This Row],[Efficiency(WT)]]</f>
        <v>0</v>
      </c>
    </row>
    <row r="31" spans="1:43" ht="15">
      <c r="A31" s="14" t="s">
        <v>53</v>
      </c>
      <c r="B31" s="14" t="s">
        <v>54</v>
      </c>
      <c r="C31" s="14" t="s">
        <v>73</v>
      </c>
      <c r="D31" s="14" t="s">
        <v>74</v>
      </c>
      <c r="E31" s="18">
        <v>675</v>
      </c>
      <c r="F31" s="14" t="s">
        <v>3</v>
      </c>
      <c r="G31" s="15">
        <v>3</v>
      </c>
      <c r="H31" s="16">
        <v>2025</v>
      </c>
      <c r="I31" s="15">
        <v>0</v>
      </c>
      <c r="J31" s="16">
        <v>0</v>
      </c>
      <c r="K31" s="15">
        <v>0</v>
      </c>
      <c r="L31" s="16">
        <v>0</v>
      </c>
      <c r="M31" s="15">
        <v>0</v>
      </c>
      <c r="N31" s="16">
        <v>0</v>
      </c>
      <c r="O31" s="15">
        <v>0</v>
      </c>
      <c r="P31" s="16">
        <v>0</v>
      </c>
      <c r="Q31" s="15">
        <v>0</v>
      </c>
      <c r="R31" s="16">
        <v>0</v>
      </c>
      <c r="S31" s="15">
        <v>0</v>
      </c>
      <c r="T31" s="16">
        <v>0</v>
      </c>
      <c r="U31" s="15">
        <v>0</v>
      </c>
      <c r="V31" s="16">
        <v>0</v>
      </c>
      <c r="W31" s="15">
        <v>0</v>
      </c>
      <c r="X31" s="16">
        <v>0</v>
      </c>
      <c r="Y31" s="15">
        <v>0</v>
      </c>
      <c r="Z31" s="16">
        <v>0</v>
      </c>
      <c r="AA31" s="15">
        <v>0</v>
      </c>
      <c r="AB31" s="16">
        <v>0</v>
      </c>
      <c r="AC31" s="15">
        <v>0</v>
      </c>
      <c r="AD31" s="16">
        <v>0</v>
      </c>
      <c r="AE31" s="15">
        <v>0</v>
      </c>
      <c r="AF31" s="16">
        <v>0</v>
      </c>
      <c r="AG31" s="15">
        <v>0</v>
      </c>
      <c r="AH31" s="16">
        <v>0</v>
      </c>
      <c r="AI31" s="15">
        <v>0</v>
      </c>
      <c r="AJ31" s="16">
        <v>0</v>
      </c>
      <c r="AK31" s="15">
        <v>3</v>
      </c>
      <c r="AL31" s="16">
        <v>2025</v>
      </c>
      <c r="AM31" s="14" t="s">
        <v>55</v>
      </c>
      <c r="AN31" s="14" t="s">
        <v>56</v>
      </c>
      <c r="AO31" s="11" t="str">
        <f>IF(LEFT(Table13569[[#This Row],[Material]], 9) = "MD06G1103", "G11", IF(LEFT(Table13569[[#This Row],[Material]], 9) = "MD06G1207", "G12", ""))</f>
        <v>G12</v>
      </c>
      <c r="AP31" s="11" t="str">
        <f>MID(Table13569[[#This Row],[Material]],1,13)</f>
        <v>MD06G1207-001</v>
      </c>
      <c r="AQ31" s="11">
        <f>Table13569[[#This Row],['[WT']GR]]/Table13569[[#This Row],[Efficiency(WT)]]</f>
        <v>0</v>
      </c>
    </row>
    <row r="32" spans="1:43" ht="15">
      <c r="A32" s="14" t="s">
        <v>53</v>
      </c>
      <c r="B32" s="14" t="s">
        <v>54</v>
      </c>
      <c r="C32" s="14" t="s">
        <v>76</v>
      </c>
      <c r="D32" s="14" t="s">
        <v>77</v>
      </c>
      <c r="E32" s="18">
        <v>660</v>
      </c>
      <c r="F32" s="14" t="s">
        <v>3</v>
      </c>
      <c r="G32" s="15">
        <v>83</v>
      </c>
      <c r="H32" s="16">
        <v>54780</v>
      </c>
      <c r="I32" s="15">
        <v>0</v>
      </c>
      <c r="J32" s="16">
        <v>0</v>
      </c>
      <c r="K32" s="15">
        <v>0</v>
      </c>
      <c r="L32" s="16">
        <v>0</v>
      </c>
      <c r="M32" s="15">
        <v>0</v>
      </c>
      <c r="N32" s="16">
        <v>0</v>
      </c>
      <c r="O32" s="15">
        <v>0</v>
      </c>
      <c r="P32" s="16">
        <v>0</v>
      </c>
      <c r="Q32" s="15">
        <v>0</v>
      </c>
      <c r="R32" s="16">
        <v>0</v>
      </c>
      <c r="S32" s="15">
        <v>0</v>
      </c>
      <c r="T32" s="16">
        <v>0</v>
      </c>
      <c r="U32" s="15">
        <v>0</v>
      </c>
      <c r="V32" s="16">
        <v>0</v>
      </c>
      <c r="W32" s="15">
        <v>0</v>
      </c>
      <c r="X32" s="16">
        <v>0</v>
      </c>
      <c r="Y32" s="15">
        <v>0</v>
      </c>
      <c r="Z32" s="16">
        <v>0</v>
      </c>
      <c r="AA32" s="15">
        <v>0</v>
      </c>
      <c r="AB32" s="16">
        <v>0</v>
      </c>
      <c r="AC32" s="15">
        <v>0</v>
      </c>
      <c r="AD32" s="16">
        <v>0</v>
      </c>
      <c r="AE32" s="15">
        <v>0</v>
      </c>
      <c r="AF32" s="16">
        <v>0</v>
      </c>
      <c r="AG32" s="15">
        <v>0</v>
      </c>
      <c r="AH32" s="16">
        <v>0</v>
      </c>
      <c r="AI32" s="15">
        <v>0</v>
      </c>
      <c r="AJ32" s="16">
        <v>0</v>
      </c>
      <c r="AK32" s="15">
        <v>83</v>
      </c>
      <c r="AL32" s="16">
        <v>54780</v>
      </c>
      <c r="AM32" s="14" t="s">
        <v>55</v>
      </c>
      <c r="AN32" s="14" t="s">
        <v>56</v>
      </c>
      <c r="AO32" s="11" t="str">
        <f>IF(LEFT(Table13569[[#This Row],[Material]], 9) = "MD06G1103", "G11", IF(LEFT(Table13569[[#This Row],[Material]], 9) = "MD06G1207", "G12", ""))</f>
        <v>G12</v>
      </c>
      <c r="AP32" s="11" t="str">
        <f>MID(Table13569[[#This Row],[Material]],1,13)</f>
        <v>MD06G1207-002</v>
      </c>
      <c r="AQ32" s="11">
        <f>Table13569[[#This Row],['[WT']GR]]/Table13569[[#This Row],[Efficiency(WT)]]</f>
        <v>0</v>
      </c>
    </row>
    <row r="33" spans="1:43" ht="15">
      <c r="A33" s="14" t="s">
        <v>53</v>
      </c>
      <c r="B33" s="14" t="s">
        <v>54</v>
      </c>
      <c r="C33" s="14" t="s">
        <v>76</v>
      </c>
      <c r="D33" s="14" t="s">
        <v>77</v>
      </c>
      <c r="E33" s="18">
        <v>660</v>
      </c>
      <c r="F33" s="14" t="s">
        <v>4</v>
      </c>
      <c r="G33" s="15">
        <v>33</v>
      </c>
      <c r="H33" s="16">
        <v>21780</v>
      </c>
      <c r="I33" s="15">
        <v>0</v>
      </c>
      <c r="J33" s="16">
        <v>0</v>
      </c>
      <c r="K33" s="15">
        <v>0</v>
      </c>
      <c r="L33" s="16">
        <v>0</v>
      </c>
      <c r="M33" s="15">
        <v>0</v>
      </c>
      <c r="N33" s="16">
        <v>0</v>
      </c>
      <c r="O33" s="15">
        <v>0</v>
      </c>
      <c r="P33" s="16">
        <v>0</v>
      </c>
      <c r="Q33" s="15">
        <v>0</v>
      </c>
      <c r="R33" s="16">
        <v>0</v>
      </c>
      <c r="S33" s="15">
        <v>0</v>
      </c>
      <c r="T33" s="16">
        <v>0</v>
      </c>
      <c r="U33" s="15">
        <v>0</v>
      </c>
      <c r="V33" s="16">
        <v>0</v>
      </c>
      <c r="W33" s="15">
        <v>0</v>
      </c>
      <c r="X33" s="16">
        <v>0</v>
      </c>
      <c r="Y33" s="15">
        <v>0</v>
      </c>
      <c r="Z33" s="16">
        <v>0</v>
      </c>
      <c r="AA33" s="15">
        <v>0</v>
      </c>
      <c r="AB33" s="16">
        <v>0</v>
      </c>
      <c r="AC33" s="15">
        <v>0</v>
      </c>
      <c r="AD33" s="16">
        <v>0</v>
      </c>
      <c r="AE33" s="15">
        <v>0</v>
      </c>
      <c r="AF33" s="16">
        <v>0</v>
      </c>
      <c r="AG33" s="15">
        <v>0</v>
      </c>
      <c r="AH33" s="16">
        <v>0</v>
      </c>
      <c r="AI33" s="15">
        <v>0</v>
      </c>
      <c r="AJ33" s="16">
        <v>0</v>
      </c>
      <c r="AK33" s="15">
        <v>33</v>
      </c>
      <c r="AL33" s="16">
        <v>21780</v>
      </c>
      <c r="AM33" s="14" t="s">
        <v>55</v>
      </c>
      <c r="AN33" s="14" t="s">
        <v>56</v>
      </c>
      <c r="AO33" s="11" t="str">
        <f>IF(LEFT(Table13569[[#This Row],[Material]], 9) = "MD06G1103", "G11", IF(LEFT(Table13569[[#This Row],[Material]], 9) = "MD06G1207", "G12", ""))</f>
        <v>G12</v>
      </c>
      <c r="AP33" s="11" t="str">
        <f>MID(Table13569[[#This Row],[Material]],1,13)</f>
        <v>MD06G1207-002</v>
      </c>
      <c r="AQ33" s="11">
        <f>Table13569[[#This Row],['[WT']GR]]/Table13569[[#This Row],[Efficiency(WT)]]</f>
        <v>0</v>
      </c>
    </row>
  </sheetData>
  <phoneticPr fontId="5" type="noConversion"/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37D99044F4744EBACC2EB02F323B07" ma:contentTypeVersion="14" ma:contentTypeDescription="Create a new document." ma:contentTypeScope="" ma:versionID="45952cf5e25f7f68d0485ade510475c3">
  <xsd:schema xmlns:xsd="http://www.w3.org/2001/XMLSchema" xmlns:xs="http://www.w3.org/2001/XMLSchema" xmlns:p="http://schemas.microsoft.com/office/2006/metadata/properties" xmlns:ns2="d7b3f2fa-35ed-432e-8d87-4a58116cefc9" xmlns:ns3="32bbe4b5-50ec-445e-b9a2-3e1e48d3db85" targetNamespace="http://schemas.microsoft.com/office/2006/metadata/properties" ma:root="true" ma:fieldsID="f05f1350ab57014db30f33a62df87623" ns2:_="" ns3:_="">
    <xsd:import namespace="d7b3f2fa-35ed-432e-8d87-4a58116cefc9"/>
    <xsd:import namespace="32bbe4b5-50ec-445e-b9a2-3e1e48d3d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3f2fa-35ed-432e-8d87-4a58116cef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666ac3-b37d-4c79-b5bb-a5fd3e8f39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be4b5-50ec-445e-b9a2-3e1e48d3d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268e7e-ff8b-42b3-957a-929071b0ea86}" ma:internalName="TaxCatchAll" ma:showField="CatchAllData" ma:web="32bbe4b5-50ec-445e-b9a2-3e1e48d3d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b3f2fa-35ed-432e-8d87-4a58116cefc9">
      <Terms xmlns="http://schemas.microsoft.com/office/infopath/2007/PartnerControls"/>
    </lcf76f155ced4ddcb4097134ff3c332f>
    <TaxCatchAll xmlns="32bbe4b5-50ec-445e-b9a2-3e1e48d3db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E1D28B-5F8B-42EC-A361-E1A0BA74F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3f2fa-35ed-432e-8d87-4a58116cefc9"/>
    <ds:schemaRef ds:uri="32bbe4b5-50ec-445e-b9a2-3e1e48d3d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F6F176-F76C-4797-942D-BE46C237324E}">
  <ds:schemaRefs>
    <ds:schemaRef ds:uri="http://schemas.microsoft.com/office/2006/metadata/properties"/>
    <ds:schemaRef ds:uri="http://schemas.microsoft.com/office/infopath/2007/PartnerControls"/>
    <ds:schemaRef ds:uri="d7b3f2fa-35ed-432e-8d87-4a58116cefc9"/>
    <ds:schemaRef ds:uri="32bbe4b5-50ec-445e-b9a2-3e1e48d3db85"/>
  </ds:schemaRefs>
</ds:datastoreItem>
</file>

<file path=customXml/itemProps3.xml><?xml version="1.0" encoding="utf-8"?>
<ds:datastoreItem xmlns:ds="http://schemas.openxmlformats.org/officeDocument/2006/customXml" ds:itemID="{C4EC7727-A587-4B11-85F7-3590CE0ACF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1) SAP PV</vt:lpstr>
      <vt:lpstr>2) SAP RD (0801)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Leandro Cherulli</cp:lastModifiedBy>
  <cp:revision/>
  <dcterms:created xsi:type="dcterms:W3CDTF">2024-05-04T12:22:00Z</dcterms:created>
  <dcterms:modified xsi:type="dcterms:W3CDTF">2026-10-03T20:17:15Z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0x010100B537D99044F4744EBACC2EB02F323B07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2024-08-28T12:30:04Z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c3e6f204-e1c4-4662-8cd4-39c06e4506bb</vt:lpwstr>
  </property>
  <property fmtid="{D5CDD505-2E9C-101B-9397-08002B2CF9AE}" pid="9" name="MSIP_Label_defa4170-0d19-0005-0004-bc88714345d2_ActionId">
    <vt:lpwstr>d34b5252-3d39-4301-bd6d-68e81b0de72f</vt:lpwstr>
  </property>
  <property fmtid="{D5CDD505-2E9C-101B-9397-08002B2CF9AE}" pid="10" name="MSIP_Label_defa4170-0d19-0005-0004-bc88714345d2_ContentBits">
    <vt:lpwstr>0</vt:lpwstr>
  </property>
</Properties>
</file>