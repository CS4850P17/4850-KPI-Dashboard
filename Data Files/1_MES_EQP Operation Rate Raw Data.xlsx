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ndrocherulli/UNI KSU/10th Semester/Senior Project/[EXTERNAL] KSU Capstone – Reference Materials and Sample Raw Data/"/>
    </mc:Choice>
  </mc:AlternateContent>
  <xr:revisionPtr revIDLastSave="0" documentId="13_ncr:1_{F6E12A92-B020-5849-859D-F9E17C5C07D2}" xr6:coauthVersionLast="47" xr6:coauthVersionMax="47" xr10:uidLastSave="{00000000-0000-0000-0000-000000000000}"/>
  <bookViews>
    <workbookView xWindow="0" yWindow="680" windowWidth="34200" windowHeight="19660" activeTab="2" xr2:uid="{00000000-000D-0000-FFFF-FFFF00000000}"/>
  </bookViews>
  <sheets>
    <sheet name="1) Tabber" sheetId="1" r:id="rId1"/>
    <sheet name="2) Front End" sheetId="3" r:id="rId2"/>
    <sheet name="3) Back En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J13" i="3"/>
  <c r="C10" i="1"/>
  <c r="D10" i="1"/>
  <c r="E10" i="1"/>
  <c r="F10" i="1"/>
  <c r="G10" i="1"/>
  <c r="H10" i="1"/>
  <c r="I10" i="1"/>
  <c r="J10" i="1"/>
  <c r="K10" i="1"/>
  <c r="L10" i="1"/>
  <c r="C11" i="4"/>
  <c r="D11" i="4"/>
  <c r="E11" i="4"/>
  <c r="F11" i="4"/>
  <c r="G11" i="4"/>
  <c r="H11" i="4"/>
  <c r="I11" i="4"/>
  <c r="K11" i="4"/>
  <c r="L11" i="4"/>
  <c r="M11" i="4"/>
  <c r="N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D13" i="3"/>
  <c r="H13" i="3"/>
  <c r="I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AA13" i="3"/>
  <c r="AB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BC0A8-7710-A542-96CE-3128F1A7D1FF}" keepAlive="1" name="Query - 1) Tabber" description="Connection to the '1) Tabber' query in the workbook." type="5" refreshedVersion="8" background="1" saveData="1">
    <dbPr connection="Provider=Microsoft.Mashup.OleDb.1;Data Source=$Workbook$;Location=&quot;1) Tabber&quot;;Extended Properties=&quot;&quot;" command="SELECT * FROM [1) Tabber]"/>
  </connection>
  <connection id="2" xr16:uid="{DFE24244-1B18-6F43-8891-DD2E2D79A9F6}" keepAlive="1" name="Query - 2) Front End" description="Connection to the '2) Front End' query in the workbook." type="5" refreshedVersion="8" background="1" saveData="1">
    <dbPr connection="Provider=Microsoft.Mashup.OleDb.1;Data Source=$Workbook$;Location=&quot;2) Front End&quot;;Extended Properties=&quot;&quot;" command="SELECT * FROM [2) Front End]"/>
  </connection>
  <connection id="3" xr16:uid="{AB128562-3FCB-AE44-96E7-52397D0602EE}" keepAlive="1" name="Query - 3) Back End" description="Connection to the '3) Back End' query in the workbook." type="5" refreshedVersion="8" background="1" saveData="1">
    <dbPr connection="Provider=Microsoft.Mashup.OleDb.1;Data Source=$Workbook$;Location=&quot;3) Back End&quot;;Extended Properties=&quot;&quot;" command="SELECT * FROM [3) Back End]"/>
  </connection>
</connections>
</file>

<file path=xl/sharedStrings.xml><?xml version="1.0" encoding="utf-8"?>
<sst xmlns="http://schemas.openxmlformats.org/spreadsheetml/2006/main" count="123" uniqueCount="104">
  <si>
    <t>average</t>
  </si>
  <si>
    <t>tabber #1</t>
  </si>
  <si>
    <t>tabber #2</t>
  </si>
  <si>
    <t>tabber #3</t>
  </si>
  <si>
    <t>tabber #4</t>
  </si>
  <si>
    <t>tabber #5</t>
  </si>
  <si>
    <t>tabber #6</t>
  </si>
  <si>
    <t>tabber #7</t>
  </si>
  <si>
    <t>tabber #8</t>
  </si>
  <si>
    <t>tabber #9</t>
  </si>
  <si>
    <t>tabber #10</t>
  </si>
  <si>
    <t>RUN</t>
  </si>
  <si>
    <t>No WIP</t>
  </si>
  <si>
    <t>Kanban Full</t>
  </si>
  <si>
    <t>Tool is Pause</t>
  </si>
  <si>
    <t>Order Change</t>
  </si>
  <si>
    <t>Tool Cleaning</t>
  </si>
  <si>
    <t>Material Change</t>
  </si>
  <si>
    <t>Down by Machine (UDM)</t>
  </si>
  <si>
    <t>auto soldering #1</t>
  </si>
  <si>
    <t>auto soldering #2</t>
  </si>
  <si>
    <t>auto taping #1</t>
  </si>
  <si>
    <t>auto taping #2</t>
  </si>
  <si>
    <t>back sheet layup #1</t>
  </si>
  <si>
    <t>1st eva layup #1</t>
  </si>
  <si>
    <t>2nd eva layup #2</t>
  </si>
  <si>
    <t>front el #1</t>
  </si>
  <si>
    <t>rear attach label</t>
  </si>
  <si>
    <t>1st glass layup #1</t>
  </si>
  <si>
    <t>1st glass layup #2</t>
  </si>
  <si>
    <t>inner label attach #1</t>
  </si>
  <si>
    <t>inner attach label check</t>
  </si>
  <si>
    <t>atttach label #1</t>
  </si>
  <si>
    <t>matrix layup #1</t>
  </si>
  <si>
    <t>matrix layup #2</t>
  </si>
  <si>
    <t>matrix layup #3</t>
  </si>
  <si>
    <t>matrix layup #4</t>
  </si>
  <si>
    <t>matrix layup #5</t>
  </si>
  <si>
    <t>module repair el #1</t>
  </si>
  <si>
    <t>module repair #1</t>
  </si>
  <si>
    <t>ribbon down right #1</t>
  </si>
  <si>
    <t>ribbon down right #2</t>
  </si>
  <si>
    <t>manual module repair</t>
  </si>
  <si>
    <t>2nd glass layup #1</t>
  </si>
  <si>
    <t>string repair #1</t>
  </si>
  <si>
    <t>No Supporting Tools</t>
  </si>
  <si>
    <t>Process Check</t>
  </si>
  <si>
    <t>Down by Operator (UDO)</t>
  </si>
  <si>
    <t>auto label #1</t>
  </si>
  <si>
    <t>auto trimming #1</t>
  </si>
  <si>
    <t>auto trimming #2</t>
  </si>
  <si>
    <t>auto trimming #3</t>
  </si>
  <si>
    <t>backend el #1</t>
  </si>
  <si>
    <t>cornoer cap assembly #1</t>
  </si>
  <si>
    <t>curing room #1</t>
  </si>
  <si>
    <t>curing room #17</t>
  </si>
  <si>
    <t>frame assembly #1</t>
  </si>
  <si>
    <t>frame assembly #2</t>
  </si>
  <si>
    <t>frame gap pusher</t>
  </si>
  <si>
    <t>frame grinding #1</t>
  </si>
  <si>
    <t>grading port #1</t>
  </si>
  <si>
    <t>grading port #2</t>
  </si>
  <si>
    <t>grading port #3</t>
  </si>
  <si>
    <t>grading port #4</t>
  </si>
  <si>
    <t>grading port #5</t>
  </si>
  <si>
    <t>grading port #6</t>
  </si>
  <si>
    <t>grading port #7</t>
  </si>
  <si>
    <t>grading port #8</t>
  </si>
  <si>
    <t>grading port #9</t>
  </si>
  <si>
    <t>grading port #10</t>
  </si>
  <si>
    <t>hv&amp;grd tester #1</t>
  </si>
  <si>
    <t>hv&amp;grd tester #2</t>
  </si>
  <si>
    <t>horizontal in #1</t>
  </si>
  <si>
    <t>j/b attach #1 (center)</t>
  </si>
  <si>
    <t>j/b attach #2 (side)</t>
  </si>
  <si>
    <t>j/b dispenser #1</t>
  </si>
  <si>
    <t>j/b cover</t>
  </si>
  <si>
    <t>j/b press #1</t>
  </si>
  <si>
    <t>j/b soldering #1</t>
  </si>
  <si>
    <t>j/b lid check #1</t>
  </si>
  <si>
    <t>laminator #1</t>
  </si>
  <si>
    <t>laminator #2</t>
  </si>
  <si>
    <t>laminator #3</t>
  </si>
  <si>
    <t>laminator #4</t>
  </si>
  <si>
    <t>laminator #5</t>
  </si>
  <si>
    <t>frame long #1</t>
  </si>
  <si>
    <t>middle cap assembly #1</t>
  </si>
  <si>
    <t>packing machine main #1</t>
  </si>
  <si>
    <t>packing machine main #2</t>
  </si>
  <si>
    <t>packing machine main #3</t>
  </si>
  <si>
    <t>potting #1</t>
  </si>
  <si>
    <t>potting dispenser</t>
  </si>
  <si>
    <t>ribbon up check #1</t>
  </si>
  <si>
    <t>ribbon up check #2</t>
  </si>
  <si>
    <t>ribbon up right #1</t>
  </si>
  <si>
    <t>ribbon up right #2</t>
  </si>
  <si>
    <t>frame short #1</t>
  </si>
  <si>
    <t>simulator #1</t>
  </si>
  <si>
    <t>transfer machine - packing #1</t>
  </si>
  <si>
    <t>transfer machine - packing #2</t>
  </si>
  <si>
    <t>transfer machine - packing #3</t>
  </si>
  <si>
    <t>vertical in #1</t>
  </si>
  <si>
    <t>vertical in #2</t>
  </si>
  <si>
    <t>vertical out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</si>
</sst>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rgb="FFBBBDC1"/>
      </patternFill>
    </fill>
    <fill>
      <patternFill patternType="solid">
        <fgColor rgb="FFBBBDC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2">
    <xf numFmtId="0" fontId="0" fillId="0" borderId="0" xfId="0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1" applyNumberFormat="1" applyFont="1" applyFill="1" applyBorder="1" applyAlignment="1">
      <alignment horizontal="center" vertical="center"/>
    </xf>
    <xf numFmtId="0" fontId="1" fillId="2" borderId="0" xfId="1">
      <alignment vertical="center"/>
    </xf>
    <xf numFmtId="49" fontId="0" fillId="2" borderId="1" xfId="1" applyNumberFormat="1" applyFont="1" applyBorder="1" applyAlignment="1">
      <alignment horizontal="left" vertical="center"/>
    </xf>
    <xf numFmtId="0" fontId="0" fillId="2" borderId="1" xfId="1" applyNumberFormat="1" applyFont="1" applyBorder="1">
      <alignment vertical="center"/>
    </xf>
    <xf numFmtId="2" fontId="0" fillId="2" borderId="1" xfId="1" applyNumberFormat="1" applyFont="1" applyBorder="1">
      <alignment vertical="center"/>
    </xf>
    <xf numFmtId="0" fontId="0" fillId="2" borderId="2" xfId="0" applyNumberFormat="1" applyFill="1" applyBorder="1">
      <alignment vertical="center"/>
    </xf>
    <xf numFmtId="2" fontId="0" fillId="0" borderId="1" xfId="0" applyNumberFormat="1" applyBorder="1">
      <alignment vertical="center"/>
    </xf>
    <xf numFmtId="1" fontId="0" fillId="0" borderId="0" xfId="0" applyNumberFormat="1">
      <alignment vertical="center"/>
    </xf>
    <xf numFmtId="1" fontId="1" fillId="2" borderId="0" xfId="1" applyNumberFormat="1">
      <alignment vertical="center"/>
    </xf>
  </cellXfs>
  <cellStyles count="2">
    <cellStyle name="Normal" xfId="0" builtinId="0"/>
    <cellStyle name="Normal 2" xfId="1" xr:uid="{6F881531-0196-4534-86FA-1414F9D43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98498</xdr:colOff>
      <xdr:row>11</xdr:row>
      <xdr:rowOff>98426</xdr:rowOff>
    </xdr:from>
    <xdr:to>
      <xdr:col>18</xdr:col>
      <xdr:colOff>195871</xdr:colOff>
      <xdr:row>52</xdr:row>
      <xdr:rowOff>147257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265163-3556-4618-82A1-94DF1D89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98" y="2231250"/>
          <a:ext cx="15065923" cy="7998450"/>
        </a:xfrm>
        <a:prstGeom prst="rect">
          <a:avLst/>
        </a:prstGeom>
      </xdr:spPr>
    </xdr:pic>
    <xdr:clientData/>
  </xdr:twoCellAnchor>
  <xdr:twoCellAnchor editAs="oneCell">
    <xdr:from>
      <xdr:col>0</xdr:col>
      <xdr:colOff>50024</xdr:colOff>
      <xdr:row>11</xdr:row>
      <xdr:rowOff>127510</xdr:rowOff>
    </xdr:from>
    <xdr:to>
      <xdr:col>18</xdr:col>
      <xdr:colOff>147397</xdr:colOff>
      <xdr:row>52</xdr:row>
      <xdr:rowOff>176341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7A62A-DD47-288A-6966-154480BD4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24" y="2260334"/>
          <a:ext cx="15065923" cy="7998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14</xdr:row>
      <xdr:rowOff>133350</xdr:rowOff>
    </xdr:from>
    <xdr:to>
      <xdr:col>14</xdr:col>
      <xdr:colOff>605347</xdr:colOff>
      <xdr:row>57</xdr:row>
      <xdr:rowOff>125081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B6B25-68BC-4CB1-BE44-175B9557B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2800350"/>
          <a:ext cx="14969047" cy="81832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66675</xdr:rowOff>
    </xdr:from>
    <xdr:to>
      <xdr:col>13</xdr:col>
      <xdr:colOff>976841</xdr:colOff>
      <xdr:row>56</xdr:row>
      <xdr:rowOff>39324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8F066-53B7-43C6-9F1F-F35863A8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375"/>
          <a:ext cx="15165916" cy="8773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zoomScale="131" zoomScaleNormal="131" workbookViewId="0">
      <selection activeCell="A10" sqref="A10"/>
    </sheetView>
  </sheetViews>
  <sheetFormatPr baseColWidth="10" defaultColWidth="8.83203125" defaultRowHeight="15" x14ac:dyDescent="0.2"/>
  <cols>
    <col min="1" max="1" width="19.1640625" customWidth="1"/>
    <col min="2" max="12" width="11.33203125" customWidth="1"/>
  </cols>
  <sheetData>
    <row r="1" spans="1:12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2" t="s">
        <v>11</v>
      </c>
      <c r="B2" s="9">
        <v>77.03</v>
      </c>
      <c r="C2" s="9">
        <v>72.5</v>
      </c>
      <c r="D2" s="9">
        <v>85.08</v>
      </c>
      <c r="E2" s="9">
        <v>75.69</v>
      </c>
      <c r="F2" s="9">
        <v>75.739999999999995</v>
      </c>
      <c r="G2" s="9">
        <v>71.23</v>
      </c>
      <c r="H2" s="9">
        <v>73.63</v>
      </c>
      <c r="I2" s="9">
        <v>77.819999999999993</v>
      </c>
      <c r="J2" s="9">
        <v>77.06</v>
      </c>
      <c r="K2" s="9">
        <v>82.88</v>
      </c>
      <c r="L2" s="9">
        <v>78.62</v>
      </c>
    </row>
    <row r="3" spans="1:12" x14ac:dyDescent="0.2">
      <c r="A3" s="2" t="s">
        <v>12</v>
      </c>
      <c r="B3" s="9">
        <v>1.72</v>
      </c>
      <c r="C3" s="9">
        <v>2.14</v>
      </c>
      <c r="D3" s="9">
        <v>0.9</v>
      </c>
      <c r="E3" s="9">
        <v>1.76</v>
      </c>
      <c r="F3" s="9">
        <v>2.5</v>
      </c>
      <c r="G3" s="9">
        <v>1.92</v>
      </c>
      <c r="H3" s="9">
        <v>1.35</v>
      </c>
      <c r="I3" s="9">
        <v>2.4900000000000002</v>
      </c>
      <c r="J3" s="9">
        <v>1.84</v>
      </c>
      <c r="K3" s="9">
        <v>1.29</v>
      </c>
      <c r="L3" s="9">
        <v>1</v>
      </c>
    </row>
    <row r="4" spans="1:12" x14ac:dyDescent="0.2">
      <c r="A4" s="2" t="s">
        <v>13</v>
      </c>
      <c r="B4" s="9">
        <v>8.14</v>
      </c>
      <c r="C4" s="9">
        <v>8.1</v>
      </c>
      <c r="D4" s="9">
        <v>5.38</v>
      </c>
      <c r="E4" s="9">
        <v>11.21</v>
      </c>
      <c r="F4" s="9">
        <v>10.36</v>
      </c>
      <c r="G4" s="9">
        <v>10.34</v>
      </c>
      <c r="H4" s="9">
        <v>9.8800000000000008</v>
      </c>
      <c r="I4" s="9">
        <v>8.24</v>
      </c>
      <c r="J4" s="9">
        <v>8.58</v>
      </c>
      <c r="K4" s="9">
        <v>4.6900000000000004</v>
      </c>
      <c r="L4" s="9">
        <v>4.62</v>
      </c>
    </row>
    <row r="5" spans="1:12" x14ac:dyDescent="0.2">
      <c r="A5" s="2" t="s">
        <v>14</v>
      </c>
      <c r="B5" s="9">
        <v>5.25</v>
      </c>
      <c r="C5" s="9">
        <v>10.94</v>
      </c>
      <c r="D5" s="9">
        <v>4.88</v>
      </c>
      <c r="E5" s="9">
        <v>1.43</v>
      </c>
      <c r="F5" s="9">
        <v>3.28</v>
      </c>
      <c r="G5" s="9">
        <v>13.03</v>
      </c>
      <c r="H5" s="9">
        <v>3.42</v>
      </c>
      <c r="I5" s="9">
        <v>1.54</v>
      </c>
      <c r="J5" s="9">
        <v>3.89</v>
      </c>
      <c r="K5" s="9">
        <v>3.61</v>
      </c>
      <c r="L5" s="9">
        <v>6.47</v>
      </c>
    </row>
    <row r="6" spans="1:12" x14ac:dyDescent="0.2">
      <c r="A6" s="2" t="s">
        <v>15</v>
      </c>
      <c r="B6" s="9">
        <v>0.15</v>
      </c>
      <c r="C6" s="9">
        <v>0</v>
      </c>
      <c r="D6" s="9">
        <v>0</v>
      </c>
      <c r="E6" s="9">
        <v>0.04</v>
      </c>
      <c r="F6" s="9">
        <v>0.04</v>
      </c>
      <c r="G6" s="9">
        <v>0.03</v>
      </c>
      <c r="H6" s="9">
        <v>0.31</v>
      </c>
      <c r="I6" s="9">
        <v>0.19</v>
      </c>
      <c r="J6" s="9">
        <v>0.4</v>
      </c>
      <c r="K6" s="9">
        <v>0.1</v>
      </c>
      <c r="L6" s="9">
        <v>0.11</v>
      </c>
    </row>
    <row r="7" spans="1:12" x14ac:dyDescent="0.2">
      <c r="A7" s="2" t="s">
        <v>16</v>
      </c>
      <c r="B7" s="9">
        <v>1.52</v>
      </c>
      <c r="C7" s="9">
        <v>0.46</v>
      </c>
      <c r="D7" s="9">
        <v>0</v>
      </c>
      <c r="E7" s="9">
        <v>0.91</v>
      </c>
      <c r="F7" s="9">
        <v>0</v>
      </c>
      <c r="G7" s="9">
        <v>1.05</v>
      </c>
      <c r="H7" s="9">
        <v>0.91</v>
      </c>
      <c r="I7" s="9">
        <v>0.99</v>
      </c>
      <c r="J7" s="9">
        <v>2.54</v>
      </c>
      <c r="K7" s="9">
        <v>3.75</v>
      </c>
      <c r="L7" s="9">
        <v>0</v>
      </c>
    </row>
    <row r="8" spans="1:12" x14ac:dyDescent="0.2">
      <c r="A8" s="2" t="s">
        <v>17</v>
      </c>
      <c r="B8" s="9">
        <v>0.22</v>
      </c>
      <c r="C8" s="9">
        <v>0.05</v>
      </c>
      <c r="D8" s="9">
        <v>0.39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</row>
    <row r="9" spans="1:12" x14ac:dyDescent="0.2">
      <c r="A9" s="2" t="s">
        <v>18</v>
      </c>
      <c r="B9" s="9">
        <v>6.64</v>
      </c>
      <c r="C9" s="9">
        <v>5.81</v>
      </c>
      <c r="D9" s="9">
        <v>3.37</v>
      </c>
      <c r="E9" s="9">
        <v>8.9499999999999993</v>
      </c>
      <c r="F9" s="9">
        <v>8.08</v>
      </c>
      <c r="G9" s="9">
        <v>2.4</v>
      </c>
      <c r="H9" s="9">
        <v>10.51</v>
      </c>
      <c r="I9" s="9">
        <v>8.73</v>
      </c>
      <c r="J9" s="9">
        <v>5.69</v>
      </c>
      <c r="K9" s="9">
        <v>3.67</v>
      </c>
      <c r="L9" s="9">
        <v>9.18</v>
      </c>
    </row>
    <row r="10" spans="1:12" x14ac:dyDescent="0.2">
      <c r="B10" s="8"/>
      <c r="C10" s="10">
        <f>SUM(C2:C9)</f>
        <v>99.999999999999986</v>
      </c>
      <c r="D10" s="10">
        <f>SUM(D2:D9)</f>
        <v>100</v>
      </c>
      <c r="E10" s="10">
        <f>SUM(E2:E9)</f>
        <v>99.990000000000009</v>
      </c>
      <c r="F10" s="10">
        <f>SUM(F2:F9)</f>
        <v>100</v>
      </c>
      <c r="G10" s="10">
        <f>SUM(G2:G9)</f>
        <v>100.00000000000001</v>
      </c>
      <c r="H10" s="10">
        <f>SUM(H2:H9)</f>
        <v>100.00999999999999</v>
      </c>
      <c r="I10" s="10">
        <f>SUM(I2:I9)</f>
        <v>99.999999999999986</v>
      </c>
      <c r="J10" s="10">
        <f>SUM(J2:J9)</f>
        <v>100.00000000000001</v>
      </c>
      <c r="K10" s="10">
        <f>SUM(K2:K9)</f>
        <v>99.99</v>
      </c>
      <c r="L10" s="10">
        <f>SUM(L2:L9)</f>
        <v>100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13E2-7B1F-413D-952E-6538B63B9779}">
  <dimension ref="A1:AB13"/>
  <sheetViews>
    <sheetView workbookViewId="0">
      <selection activeCell="H13" sqref="H13"/>
    </sheetView>
  </sheetViews>
  <sheetFormatPr baseColWidth="10" defaultColWidth="9" defaultRowHeight="15" x14ac:dyDescent="0.2"/>
  <cols>
    <col min="1" max="1" width="20" style="4" bestFit="1" customWidth="1"/>
    <col min="2" max="2" width="6.83203125" style="4" bestFit="1" customWidth="1"/>
    <col min="3" max="4" width="14.33203125" style="4" bestFit="1" customWidth="1"/>
    <col min="5" max="6" width="12.1640625" style="4" bestFit="1" customWidth="1"/>
    <col min="7" max="7" width="15.83203125" style="4" bestFit="1" customWidth="1"/>
    <col min="8" max="8" width="13.1640625" style="4" bestFit="1" customWidth="1"/>
    <col min="9" max="9" width="13.83203125" style="4" bestFit="1" customWidth="1"/>
    <col min="10" max="10" width="10" style="4" bestFit="1" customWidth="1"/>
    <col min="11" max="11" width="13.5" style="4" bestFit="1" customWidth="1"/>
    <col min="12" max="13" width="14.1640625" style="4" bestFit="1" customWidth="1"/>
    <col min="14" max="14" width="16.83203125" style="4" bestFit="1" customWidth="1"/>
    <col min="15" max="15" width="19.33203125" style="4" bestFit="1" customWidth="1"/>
    <col min="16" max="21" width="13" style="4" bestFit="1" customWidth="1"/>
    <col min="22" max="22" width="15.83203125" style="4" bestFit="1" customWidth="1"/>
    <col min="23" max="23" width="14.1640625" style="4" bestFit="1" customWidth="1"/>
    <col min="24" max="25" width="17.5" style="4" bestFit="1" customWidth="1"/>
    <col min="26" max="26" width="18.1640625" style="4" bestFit="1" customWidth="1"/>
    <col min="27" max="27" width="14.83203125" style="4" bestFit="1" customWidth="1"/>
    <col min="28" max="28" width="12.6640625" style="4" bestFit="1" customWidth="1"/>
    <col min="29" max="16384" width="9" style="4"/>
  </cols>
  <sheetData>
    <row r="1" spans="1:28" x14ac:dyDescent="0.2">
      <c r="A1" s="3">
        <v>0</v>
      </c>
      <c r="B1" s="3" t="s">
        <v>0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</row>
    <row r="2" spans="1:28" x14ac:dyDescent="0.2">
      <c r="A2" s="5" t="s">
        <v>11</v>
      </c>
      <c r="B2" s="6">
        <v>71.22</v>
      </c>
      <c r="C2" s="7">
        <v>87.62</v>
      </c>
      <c r="D2" s="7">
        <v>94.19</v>
      </c>
      <c r="E2" s="7">
        <v>0</v>
      </c>
      <c r="F2" s="7">
        <v>0</v>
      </c>
      <c r="G2" s="7">
        <v>0</v>
      </c>
      <c r="H2" s="7">
        <v>83.54</v>
      </c>
      <c r="I2" s="7">
        <v>75.95</v>
      </c>
      <c r="J2" s="7">
        <v>71.989999999999995</v>
      </c>
      <c r="K2" s="7">
        <v>60.01</v>
      </c>
      <c r="L2" s="7">
        <v>59.86</v>
      </c>
      <c r="M2" s="7">
        <v>86.59</v>
      </c>
      <c r="N2" s="7">
        <v>73.95</v>
      </c>
      <c r="O2" s="7">
        <v>47.83</v>
      </c>
      <c r="P2" s="7">
        <v>75.06</v>
      </c>
      <c r="Q2" s="7">
        <v>63.83</v>
      </c>
      <c r="R2" s="7">
        <v>65.84</v>
      </c>
      <c r="S2" s="7">
        <v>74.61</v>
      </c>
      <c r="T2" s="7">
        <v>60.73</v>
      </c>
      <c r="U2" s="7">
        <v>78.33</v>
      </c>
      <c r="V2" s="7">
        <v>55.51</v>
      </c>
      <c r="W2" s="7">
        <v>0</v>
      </c>
      <c r="X2" s="7">
        <v>72.260000000000005</v>
      </c>
      <c r="Y2" s="7">
        <v>49.59</v>
      </c>
      <c r="Z2" s="7">
        <v>0</v>
      </c>
      <c r="AA2" s="7">
        <v>71.33</v>
      </c>
      <c r="AB2" s="7">
        <v>86.98</v>
      </c>
    </row>
    <row r="3" spans="1:28" x14ac:dyDescent="0.2">
      <c r="A3" s="5" t="s">
        <v>12</v>
      </c>
      <c r="B3" s="6">
        <v>30.43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0.43</v>
      </c>
      <c r="I3" s="7">
        <v>10.039999999999999</v>
      </c>
      <c r="J3" s="7">
        <v>22.52</v>
      </c>
      <c r="K3" s="7">
        <v>9.9600000000000009</v>
      </c>
      <c r="L3" s="7">
        <v>0</v>
      </c>
      <c r="M3" s="7">
        <v>0</v>
      </c>
      <c r="N3" s="7">
        <v>23.34</v>
      </c>
      <c r="O3" s="7">
        <v>39.380000000000003</v>
      </c>
      <c r="P3" s="7">
        <v>21.99</v>
      </c>
      <c r="Q3" s="7">
        <v>36.03</v>
      </c>
      <c r="R3" s="7">
        <v>33.33</v>
      </c>
      <c r="S3" s="7">
        <v>23.65</v>
      </c>
      <c r="T3" s="7">
        <v>37.840000000000003</v>
      </c>
      <c r="U3" s="7">
        <v>20.84</v>
      </c>
      <c r="V3" s="7">
        <v>42.26</v>
      </c>
      <c r="W3" s="7">
        <v>98.91</v>
      </c>
      <c r="X3" s="7">
        <v>27.42</v>
      </c>
      <c r="Y3" s="7">
        <v>47.46</v>
      </c>
      <c r="Z3" s="7">
        <v>0</v>
      </c>
      <c r="AA3" s="7">
        <v>21.93</v>
      </c>
      <c r="AB3" s="7">
        <v>0</v>
      </c>
    </row>
    <row r="4" spans="1:28" x14ac:dyDescent="0.2">
      <c r="A4" s="5" t="s">
        <v>13</v>
      </c>
      <c r="B4" s="6">
        <v>5.26</v>
      </c>
      <c r="C4" s="7">
        <v>0.71</v>
      </c>
      <c r="D4" s="7">
        <v>1.49</v>
      </c>
      <c r="E4" s="7">
        <v>0</v>
      </c>
      <c r="F4" s="7">
        <v>0</v>
      </c>
      <c r="G4" s="7">
        <v>0</v>
      </c>
      <c r="H4" s="7">
        <v>9.2899999999999991</v>
      </c>
      <c r="I4" s="7">
        <v>1.39</v>
      </c>
      <c r="J4" s="7">
        <v>5.49</v>
      </c>
      <c r="K4" s="7">
        <v>28.34</v>
      </c>
      <c r="L4" s="7">
        <v>26.35</v>
      </c>
      <c r="M4" s="7">
        <v>0</v>
      </c>
      <c r="N4" s="7">
        <v>2.71</v>
      </c>
      <c r="O4" s="7">
        <v>12.78</v>
      </c>
      <c r="P4" s="7">
        <v>0.61</v>
      </c>
      <c r="Q4" s="7">
        <v>0.14000000000000001</v>
      </c>
      <c r="R4" s="7">
        <v>0.76</v>
      </c>
      <c r="S4" s="7">
        <v>1.54</v>
      </c>
      <c r="T4" s="7">
        <v>1.02</v>
      </c>
      <c r="U4" s="7">
        <v>0.82</v>
      </c>
      <c r="V4" s="7">
        <v>2.23</v>
      </c>
      <c r="W4" s="7">
        <v>0</v>
      </c>
      <c r="X4" s="7">
        <v>0.33</v>
      </c>
      <c r="Y4" s="7">
        <v>2.94</v>
      </c>
      <c r="Z4" s="7">
        <v>0</v>
      </c>
      <c r="AA4" s="7">
        <v>4.7</v>
      </c>
      <c r="AB4" s="7">
        <v>1.54</v>
      </c>
    </row>
    <row r="5" spans="1:28" x14ac:dyDescent="0.2">
      <c r="A5" s="5" t="s">
        <v>45</v>
      </c>
      <c r="B5" s="6">
        <v>7.85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13.27</v>
      </c>
      <c r="M5" s="7">
        <v>13.05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1.0900000000000001</v>
      </c>
      <c r="X5" s="7">
        <v>0</v>
      </c>
      <c r="Y5" s="7">
        <v>0</v>
      </c>
      <c r="Z5" s="7">
        <v>0</v>
      </c>
      <c r="AA5" s="7">
        <v>0</v>
      </c>
      <c r="AB5" s="7">
        <v>3.98</v>
      </c>
    </row>
    <row r="6" spans="1:28" x14ac:dyDescent="0.2">
      <c r="A6" s="5" t="s">
        <v>14</v>
      </c>
      <c r="B6" s="6">
        <v>2.77</v>
      </c>
      <c r="C6" s="7">
        <v>7.93</v>
      </c>
      <c r="D6" s="7">
        <v>0.34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0.03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</row>
    <row r="7" spans="1:28" x14ac:dyDescent="0.2">
      <c r="A7" s="5" t="s">
        <v>15</v>
      </c>
      <c r="B7" s="6">
        <v>2.19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2.33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2.0499999999999998</v>
      </c>
      <c r="AB7" s="7">
        <v>0</v>
      </c>
    </row>
    <row r="8" spans="1:28" x14ac:dyDescent="0.2">
      <c r="A8" s="5" t="s">
        <v>16</v>
      </c>
      <c r="B8" s="6">
        <v>0.43</v>
      </c>
      <c r="C8" s="7">
        <v>0</v>
      </c>
      <c r="D8" s="7">
        <v>0.83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0.03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</row>
    <row r="9" spans="1:28" x14ac:dyDescent="0.2">
      <c r="A9" s="5" t="s">
        <v>17</v>
      </c>
      <c r="B9" s="6">
        <v>4.2300000000000004</v>
      </c>
      <c r="C9" s="7">
        <v>1.1100000000000001</v>
      </c>
      <c r="D9" s="7">
        <v>2.2400000000000002</v>
      </c>
      <c r="E9" s="7">
        <v>0</v>
      </c>
      <c r="F9" s="7">
        <v>0</v>
      </c>
      <c r="G9" s="7">
        <v>0</v>
      </c>
      <c r="H9" s="7">
        <v>2.2599999999999998</v>
      </c>
      <c r="I9" s="7">
        <v>11.3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</row>
    <row r="10" spans="1:28" x14ac:dyDescent="0.2">
      <c r="A10" s="5" t="s">
        <v>46</v>
      </c>
      <c r="B10" s="6">
        <v>0.46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0.28999999999999998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1.1000000000000001</v>
      </c>
    </row>
    <row r="11" spans="1:28" x14ac:dyDescent="0.2">
      <c r="A11" s="5" t="s">
        <v>18</v>
      </c>
      <c r="B11" s="6">
        <v>0.21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0.03</v>
      </c>
      <c r="S11" s="7">
        <v>0.2</v>
      </c>
      <c r="T11" s="7">
        <v>0.4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</row>
    <row r="12" spans="1:28" x14ac:dyDescent="0.2">
      <c r="A12" s="5" t="s">
        <v>47</v>
      </c>
      <c r="B12" s="6">
        <v>2.25</v>
      </c>
      <c r="C12" s="7">
        <v>2.63</v>
      </c>
      <c r="D12" s="7">
        <v>0.91</v>
      </c>
      <c r="E12" s="7">
        <v>0</v>
      </c>
      <c r="F12" s="7">
        <v>0</v>
      </c>
      <c r="G12" s="7">
        <v>0</v>
      </c>
      <c r="H12" s="7">
        <v>4.4800000000000004</v>
      </c>
      <c r="I12" s="7">
        <v>1.32</v>
      </c>
      <c r="J12" s="7">
        <v>0</v>
      </c>
      <c r="K12" s="7">
        <v>1.66</v>
      </c>
      <c r="L12" s="7">
        <v>0.23</v>
      </c>
      <c r="M12" s="7">
        <v>0.35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6.4</v>
      </c>
    </row>
    <row r="13" spans="1:28" s="11" customFormat="1" x14ac:dyDescent="0.2">
      <c r="C13" s="11">
        <f>SUM(C2:C12)</f>
        <v>99.999999999999986</v>
      </c>
      <c r="D13" s="11">
        <f>SUM(D2:D12)</f>
        <v>99.999999999999986</v>
      </c>
      <c r="E13" s="11">
        <v>0</v>
      </c>
      <c r="F13" s="11">
        <v>0</v>
      </c>
      <c r="G13" s="11">
        <v>0</v>
      </c>
      <c r="H13" s="11">
        <f>SUM(H2:H12)</f>
        <v>100.00000000000003</v>
      </c>
      <c r="I13" s="11">
        <f>SUM(I2:I12)</f>
        <v>100</v>
      </c>
      <c r="J13" s="11">
        <f>SUM(J2:J12)</f>
        <v>99.999999999999986</v>
      </c>
      <c r="K13" s="11">
        <f>SUM(K2:K12)</f>
        <v>100</v>
      </c>
      <c r="L13" s="11">
        <f>SUM(L2:L12)</f>
        <v>100.00000000000001</v>
      </c>
      <c r="M13" s="11">
        <f>SUM(M2:M12)</f>
        <v>99.99</v>
      </c>
      <c r="N13" s="11">
        <f>SUM(N2:N12)</f>
        <v>100</v>
      </c>
      <c r="O13" s="11">
        <f>SUM(O2:O12)</f>
        <v>99.990000000000009</v>
      </c>
      <c r="P13" s="11">
        <f>SUM(P2:P12)</f>
        <v>99.99</v>
      </c>
      <c r="Q13" s="11">
        <f>SUM(Q2:Q12)</f>
        <v>100</v>
      </c>
      <c r="R13" s="11">
        <f>SUM(R2:R12)</f>
        <v>99.990000000000009</v>
      </c>
      <c r="S13" s="11">
        <f>SUM(S2:S12)</f>
        <v>100</v>
      </c>
      <c r="T13" s="11">
        <f>SUM(T2:T12)</f>
        <v>99.99</v>
      </c>
      <c r="U13" s="11">
        <f>SUM(U2:U12)</f>
        <v>99.99</v>
      </c>
      <c r="V13" s="11">
        <f>SUM(V2:V12)</f>
        <v>100</v>
      </c>
      <c r="W13" s="11">
        <f>SUM(W2:W12)</f>
        <v>100</v>
      </c>
      <c r="X13" s="11">
        <f>SUM(X2:X12)</f>
        <v>100.01</v>
      </c>
      <c r="Y13" s="11">
        <f>SUM(Y2:Y12)</f>
        <v>99.990000000000009</v>
      </c>
      <c r="Z13" s="11">
        <v>0</v>
      </c>
      <c r="AA13" s="11">
        <f>SUM(AA2:AA12)</f>
        <v>100.00999999999999</v>
      </c>
      <c r="AB13" s="11">
        <f>SUM(AB2:AB12)</f>
        <v>100.00000000000001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217-5E37-4109-90B1-93A489CD1A29}">
  <dimension ref="A1:BF11"/>
  <sheetViews>
    <sheetView tabSelected="1" workbookViewId="0">
      <selection activeCell="Q17" sqref="Q17"/>
    </sheetView>
  </sheetViews>
  <sheetFormatPr baseColWidth="10" defaultColWidth="9" defaultRowHeight="15" x14ac:dyDescent="0.2"/>
  <cols>
    <col min="1" max="1" width="20" style="4" bestFit="1" customWidth="1"/>
    <col min="2" max="2" width="9" style="4" bestFit="1" customWidth="1"/>
    <col min="3" max="3" width="11" style="4" bestFit="1" customWidth="1"/>
    <col min="4" max="6" width="14.5" style="4" bestFit="1" customWidth="1"/>
    <col min="7" max="7" width="11.33203125" style="4" customWidth="1"/>
    <col min="8" max="8" width="19.83203125" style="4" bestFit="1" customWidth="1"/>
    <col min="9" max="9" width="12.83203125" style="4" bestFit="1" customWidth="1"/>
    <col min="10" max="10" width="13.83203125" style="4" bestFit="1" customWidth="1"/>
    <col min="11" max="12" width="15" style="4" bestFit="1" customWidth="1"/>
    <col min="13" max="13" width="14.1640625" style="4" bestFit="1" customWidth="1"/>
    <col min="14" max="14" width="14.5" style="4" bestFit="1" customWidth="1"/>
    <col min="15" max="23" width="12.83203125" style="4" bestFit="1" customWidth="1"/>
    <col min="24" max="26" width="13.83203125" style="4" bestFit="1" customWidth="1"/>
    <col min="27" max="27" width="13.1640625" style="4" bestFit="1" customWidth="1"/>
    <col min="28" max="28" width="17.1640625" style="4" bestFit="1" customWidth="1"/>
    <col min="29" max="29" width="15.1640625" style="4" bestFit="1" customWidth="1"/>
    <col min="30" max="30" width="13.1640625" style="4" bestFit="1" customWidth="1"/>
    <col min="31" max="31" width="10" style="4" bestFit="1" customWidth="1"/>
    <col min="32" max="32" width="9.83203125" style="4" bestFit="1" customWidth="1"/>
    <col min="33" max="33" width="13" style="4" bestFit="1" customWidth="1"/>
    <col min="34" max="34" width="12.6640625" style="4" bestFit="1" customWidth="1"/>
    <col min="35" max="39" width="11" style="4" bestFit="1" customWidth="1"/>
    <col min="40" max="40" width="11.33203125" style="4" customWidth="1"/>
    <col min="41" max="41" width="19.1640625" style="4" bestFit="1" customWidth="1"/>
    <col min="42" max="44" width="20.5" style="4" bestFit="1" customWidth="1"/>
    <col min="45" max="45" width="10" style="4" bestFit="1" customWidth="1"/>
    <col min="46" max="46" width="14.5" style="4" bestFit="1" customWidth="1"/>
    <col min="47" max="48" width="15.6640625" style="4" bestFit="1" customWidth="1"/>
    <col min="49" max="50" width="15" style="4" bestFit="1" customWidth="1"/>
    <col min="51" max="51" width="12.1640625" style="4" bestFit="1" customWidth="1"/>
    <col min="52" max="52" width="10.83203125" style="4" bestFit="1" customWidth="1"/>
    <col min="53" max="55" width="23.5" style="4" bestFit="1" customWidth="1"/>
    <col min="56" max="57" width="11" style="4" bestFit="1" customWidth="1"/>
    <col min="58" max="58" width="12.1640625" style="4" bestFit="1" customWidth="1"/>
    <col min="59" max="16384" width="9" style="4"/>
  </cols>
  <sheetData>
    <row r="1" spans="1:58" x14ac:dyDescent="0.2">
      <c r="A1" s="3">
        <v>0</v>
      </c>
      <c r="B1" s="3" t="s">
        <v>0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78</v>
      </c>
      <c r="AH1" s="3" t="s">
        <v>79</v>
      </c>
      <c r="AI1" s="3" t="s">
        <v>80</v>
      </c>
      <c r="AJ1" s="3" t="s">
        <v>81</v>
      </c>
      <c r="AK1" s="3" t="s">
        <v>82</v>
      </c>
      <c r="AL1" s="3" t="s">
        <v>83</v>
      </c>
      <c r="AM1" s="3" t="s">
        <v>84</v>
      </c>
      <c r="AN1" s="3" t="s">
        <v>85</v>
      </c>
      <c r="AO1" s="3" t="s">
        <v>86</v>
      </c>
      <c r="AP1" s="3" t="s">
        <v>87</v>
      </c>
      <c r="AQ1" s="3" t="s">
        <v>88</v>
      </c>
      <c r="AR1" s="3" t="s">
        <v>89</v>
      </c>
      <c r="AS1" s="3" t="s">
        <v>90</v>
      </c>
      <c r="AT1" s="3" t="s">
        <v>91</v>
      </c>
      <c r="AU1" s="3" t="s">
        <v>92</v>
      </c>
      <c r="AV1" s="3" t="s">
        <v>93</v>
      </c>
      <c r="AW1" s="3" t="s">
        <v>94</v>
      </c>
      <c r="AX1" s="3" t="s">
        <v>95</v>
      </c>
      <c r="AY1" s="3" t="s">
        <v>96</v>
      </c>
      <c r="AZ1" s="3" t="s">
        <v>97</v>
      </c>
      <c r="BA1" s="3" t="s">
        <v>98</v>
      </c>
      <c r="BB1" s="3" t="s">
        <v>99</v>
      </c>
      <c r="BC1" s="3" t="s">
        <v>100</v>
      </c>
      <c r="BD1" s="3" t="s">
        <v>101</v>
      </c>
      <c r="BE1" s="3" t="s">
        <v>102</v>
      </c>
      <c r="BF1" s="3" t="s">
        <v>103</v>
      </c>
    </row>
    <row r="2" spans="1:58" x14ac:dyDescent="0.2">
      <c r="A2" s="5" t="s">
        <v>11</v>
      </c>
      <c r="B2" s="7">
        <v>65.67</v>
      </c>
      <c r="C2" s="7">
        <v>68.849999999999994</v>
      </c>
      <c r="D2" s="7">
        <v>71.22</v>
      </c>
      <c r="E2" s="7">
        <v>64.11</v>
      </c>
      <c r="F2" s="7">
        <v>39.33</v>
      </c>
      <c r="G2" s="7">
        <v>71.569999999999993</v>
      </c>
      <c r="H2" s="7">
        <v>67.650000000000006</v>
      </c>
      <c r="I2" s="7">
        <v>69.28</v>
      </c>
      <c r="J2" s="7">
        <v>0</v>
      </c>
      <c r="K2" s="7">
        <v>76.569999999999993</v>
      </c>
      <c r="L2" s="7">
        <v>79.2</v>
      </c>
      <c r="M2" s="7">
        <v>61.09</v>
      </c>
      <c r="N2" s="7">
        <v>49.67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78.97</v>
      </c>
      <c r="Z2" s="7">
        <v>75.930000000000007</v>
      </c>
      <c r="AA2" s="7">
        <v>100</v>
      </c>
      <c r="AB2" s="7">
        <v>68.709999999999994</v>
      </c>
      <c r="AC2" s="7">
        <v>50.05</v>
      </c>
      <c r="AD2" s="7">
        <v>71.73</v>
      </c>
      <c r="AE2" s="7">
        <v>56.12</v>
      </c>
      <c r="AF2" s="7">
        <v>71.02</v>
      </c>
      <c r="AG2" s="7">
        <v>72.19</v>
      </c>
      <c r="AH2" s="7">
        <v>56.11</v>
      </c>
      <c r="AI2" s="7">
        <v>97.86</v>
      </c>
      <c r="AJ2" s="7">
        <v>97.67</v>
      </c>
      <c r="AK2" s="7">
        <v>97.94</v>
      </c>
      <c r="AL2" s="7">
        <v>98.19</v>
      </c>
      <c r="AM2" s="7">
        <v>98.35</v>
      </c>
      <c r="AN2" s="7">
        <v>99.33</v>
      </c>
      <c r="AO2" s="7">
        <v>46.76</v>
      </c>
      <c r="AP2" s="7">
        <v>49.23</v>
      </c>
      <c r="AQ2" s="7">
        <v>93.19</v>
      </c>
      <c r="AR2" s="7">
        <v>63.99</v>
      </c>
      <c r="AS2" s="7">
        <v>75.17</v>
      </c>
      <c r="AT2" s="7">
        <v>0</v>
      </c>
      <c r="AU2" s="7">
        <v>58.31</v>
      </c>
      <c r="AV2" s="7">
        <v>55</v>
      </c>
      <c r="AW2" s="7">
        <v>99.98</v>
      </c>
      <c r="AX2" s="7">
        <v>47.77</v>
      </c>
      <c r="AY2" s="7">
        <v>98.93</v>
      </c>
      <c r="AZ2" s="7">
        <v>76.27</v>
      </c>
      <c r="BA2" s="7">
        <v>2.69</v>
      </c>
      <c r="BB2" s="7">
        <v>6.37</v>
      </c>
      <c r="BC2" s="7">
        <v>67.150000000000006</v>
      </c>
      <c r="BD2" s="7">
        <v>16.190000000000001</v>
      </c>
      <c r="BE2" s="7">
        <v>5.95</v>
      </c>
      <c r="BF2" s="7">
        <v>17.62</v>
      </c>
    </row>
    <row r="3" spans="1:58" x14ac:dyDescent="0.2">
      <c r="A3" s="5" t="s">
        <v>12</v>
      </c>
      <c r="B3" s="7">
        <v>31.1</v>
      </c>
      <c r="C3" s="7">
        <v>25.36</v>
      </c>
      <c r="D3" s="7">
        <v>24.89</v>
      </c>
      <c r="E3" s="7">
        <v>30.15</v>
      </c>
      <c r="F3" s="7">
        <v>31.92</v>
      </c>
      <c r="G3" s="7">
        <v>18.84</v>
      </c>
      <c r="H3" s="7">
        <v>25.3</v>
      </c>
      <c r="I3" s="7">
        <v>28.84</v>
      </c>
      <c r="J3" s="7">
        <v>0</v>
      </c>
      <c r="K3" s="7">
        <v>19.45</v>
      </c>
      <c r="L3" s="7">
        <v>17.87</v>
      </c>
      <c r="M3" s="7">
        <v>24.75</v>
      </c>
      <c r="N3" s="7">
        <v>29.95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14.43</v>
      </c>
      <c r="Z3" s="7">
        <v>18.09</v>
      </c>
      <c r="AA3" s="7">
        <v>0</v>
      </c>
      <c r="AB3" s="7">
        <v>19.75</v>
      </c>
      <c r="AC3" s="7">
        <v>20.13</v>
      </c>
      <c r="AD3" s="7">
        <v>16.12</v>
      </c>
      <c r="AE3" s="7">
        <v>34.520000000000003</v>
      </c>
      <c r="AF3" s="7">
        <v>19.12</v>
      </c>
      <c r="AG3" s="7">
        <v>18.940000000000001</v>
      </c>
      <c r="AH3" s="7">
        <v>34.520000000000003</v>
      </c>
      <c r="AI3" s="7">
        <v>2.08</v>
      </c>
      <c r="AJ3" s="7">
        <v>2.2400000000000002</v>
      </c>
      <c r="AK3" s="7">
        <v>2.06</v>
      </c>
      <c r="AL3" s="7">
        <v>1.81</v>
      </c>
      <c r="AM3" s="7">
        <v>1.61</v>
      </c>
      <c r="AN3" s="7">
        <v>0</v>
      </c>
      <c r="AO3" s="7">
        <v>49.85</v>
      </c>
      <c r="AP3" s="7">
        <v>46.46</v>
      </c>
      <c r="AQ3" s="7">
        <v>0</v>
      </c>
      <c r="AR3" s="7">
        <v>33.17</v>
      </c>
      <c r="AS3" s="7">
        <v>20.68</v>
      </c>
      <c r="AT3" s="7">
        <v>0</v>
      </c>
      <c r="AU3" s="7">
        <v>21</v>
      </c>
      <c r="AV3" s="7">
        <v>20.49</v>
      </c>
      <c r="AW3" s="7">
        <v>0</v>
      </c>
      <c r="AX3" s="7">
        <v>35.5</v>
      </c>
      <c r="AY3" s="7">
        <v>0</v>
      </c>
      <c r="AZ3" s="7">
        <v>23.55</v>
      </c>
      <c r="BA3" s="7">
        <v>96.89</v>
      </c>
      <c r="BB3" s="7">
        <v>93.21</v>
      </c>
      <c r="BC3" s="7">
        <v>32.85</v>
      </c>
      <c r="BD3" s="7">
        <v>82.93</v>
      </c>
      <c r="BE3" s="7">
        <v>93.99</v>
      </c>
      <c r="BF3" s="7">
        <v>79.73</v>
      </c>
    </row>
    <row r="4" spans="1:58" x14ac:dyDescent="0.2">
      <c r="A4" s="5" t="s">
        <v>13</v>
      </c>
      <c r="B4" s="7">
        <v>8.52</v>
      </c>
      <c r="C4" s="7">
        <v>4.47</v>
      </c>
      <c r="D4" s="7">
        <v>3.89</v>
      </c>
      <c r="E4" s="7">
        <v>5.74</v>
      </c>
      <c r="F4" s="7">
        <v>28.75</v>
      </c>
      <c r="G4" s="7">
        <v>9.32</v>
      </c>
      <c r="H4" s="7">
        <v>0</v>
      </c>
      <c r="I4" s="7">
        <v>1.49</v>
      </c>
      <c r="J4" s="7">
        <v>0</v>
      </c>
      <c r="K4" s="7">
        <v>1.06</v>
      </c>
      <c r="L4" s="7">
        <v>1.91</v>
      </c>
      <c r="M4" s="7">
        <v>14.17</v>
      </c>
      <c r="N4" s="7">
        <v>20.37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6.59</v>
      </c>
      <c r="Z4" s="7">
        <v>4.3</v>
      </c>
      <c r="AA4" s="7">
        <v>0</v>
      </c>
      <c r="AB4" s="7">
        <v>11.25</v>
      </c>
      <c r="AC4" s="7">
        <v>25.91</v>
      </c>
      <c r="AD4" s="7">
        <v>12.13</v>
      </c>
      <c r="AE4" s="7">
        <v>9.36</v>
      </c>
      <c r="AF4" s="7">
        <v>9.83</v>
      </c>
      <c r="AG4" s="7">
        <v>8.68</v>
      </c>
      <c r="AH4" s="7">
        <v>9.3699999999999992</v>
      </c>
      <c r="AI4" s="7">
        <v>0.06</v>
      </c>
      <c r="AJ4" s="7">
        <v>0.09</v>
      </c>
      <c r="AK4" s="7">
        <v>0</v>
      </c>
      <c r="AL4" s="7">
        <v>0</v>
      </c>
      <c r="AM4" s="7">
        <v>0.04</v>
      </c>
      <c r="AN4" s="7">
        <v>0</v>
      </c>
      <c r="AO4" s="7">
        <v>3.38</v>
      </c>
      <c r="AP4" s="7">
        <v>2.79</v>
      </c>
      <c r="AQ4" s="7">
        <v>0</v>
      </c>
      <c r="AR4" s="7">
        <v>1.22</v>
      </c>
      <c r="AS4" s="7">
        <v>3.31</v>
      </c>
      <c r="AT4" s="7">
        <v>0</v>
      </c>
      <c r="AU4" s="7">
        <v>20.68</v>
      </c>
      <c r="AV4" s="7">
        <v>24.52</v>
      </c>
      <c r="AW4" s="7">
        <v>0</v>
      </c>
      <c r="AX4" s="7">
        <v>16.739999999999998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0.38</v>
      </c>
      <c r="BE4" s="7">
        <v>0</v>
      </c>
      <c r="BF4" s="7">
        <v>2.29</v>
      </c>
    </row>
    <row r="5" spans="1:58" x14ac:dyDescent="0.2">
      <c r="A5" s="5" t="s">
        <v>45</v>
      </c>
      <c r="B5" s="7">
        <v>7.04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7.04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</row>
    <row r="6" spans="1:58" x14ac:dyDescent="0.2">
      <c r="A6" s="5" t="s">
        <v>15</v>
      </c>
      <c r="B6" s="7">
        <v>0.22</v>
      </c>
      <c r="C6" s="7">
        <v>0.03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0.24</v>
      </c>
      <c r="AQ6" s="7">
        <v>0.92</v>
      </c>
      <c r="AR6" s="7">
        <v>0.12</v>
      </c>
      <c r="AS6" s="7">
        <v>0</v>
      </c>
      <c r="AT6" s="7">
        <v>0</v>
      </c>
      <c r="AU6" s="7">
        <v>0.02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</row>
    <row r="7" spans="1:58" x14ac:dyDescent="0.2">
      <c r="A7" s="5" t="s">
        <v>16</v>
      </c>
      <c r="B7" s="7">
        <v>0.24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0.23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0.02</v>
      </c>
      <c r="AX7" s="7">
        <v>0</v>
      </c>
      <c r="AY7" s="7">
        <v>0.69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</row>
    <row r="8" spans="1:58" x14ac:dyDescent="0.2">
      <c r="A8" s="5" t="s">
        <v>17</v>
      </c>
      <c r="B8" s="7">
        <v>0.35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0.26</v>
      </c>
      <c r="AQ8" s="7">
        <v>0.89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0.24</v>
      </c>
      <c r="BE8" s="7">
        <v>0</v>
      </c>
      <c r="BF8" s="7">
        <v>0</v>
      </c>
    </row>
    <row r="9" spans="1:58" x14ac:dyDescent="0.2">
      <c r="A9" s="5" t="s">
        <v>46</v>
      </c>
      <c r="B9" s="7">
        <v>0.4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0.08</v>
      </c>
      <c r="J9" s="7">
        <v>0</v>
      </c>
      <c r="K9" s="7">
        <v>0</v>
      </c>
      <c r="L9" s="7">
        <v>0</v>
      </c>
      <c r="M9" s="7">
        <v>0</v>
      </c>
      <c r="N9" s="7">
        <v>0.01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0.03</v>
      </c>
      <c r="AA9" s="7">
        <v>0</v>
      </c>
      <c r="AB9" s="7">
        <v>0</v>
      </c>
      <c r="AC9" s="7">
        <v>0</v>
      </c>
      <c r="AD9" s="7">
        <v>0.01</v>
      </c>
      <c r="AE9" s="7">
        <v>0</v>
      </c>
      <c r="AF9" s="7">
        <v>0.02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2.67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</row>
    <row r="10" spans="1:58" x14ac:dyDescent="0.2">
      <c r="A10" s="5" t="s">
        <v>47</v>
      </c>
      <c r="B10" s="7">
        <v>0.96</v>
      </c>
      <c r="C10" s="7">
        <v>1.28</v>
      </c>
      <c r="D10" s="7">
        <v>0</v>
      </c>
      <c r="E10" s="7">
        <v>0</v>
      </c>
      <c r="F10" s="7">
        <v>0</v>
      </c>
      <c r="G10" s="7">
        <v>0.27</v>
      </c>
      <c r="H10" s="7">
        <v>0</v>
      </c>
      <c r="I10" s="7">
        <v>0.31</v>
      </c>
      <c r="J10" s="7">
        <v>0</v>
      </c>
      <c r="K10" s="7">
        <v>2.93</v>
      </c>
      <c r="L10" s="7">
        <v>1.02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1.65</v>
      </c>
      <c r="AA10" s="7">
        <v>0</v>
      </c>
      <c r="AB10" s="7">
        <v>0.28000000000000003</v>
      </c>
      <c r="AC10" s="7">
        <v>3.91</v>
      </c>
      <c r="AD10" s="7">
        <v>0</v>
      </c>
      <c r="AE10" s="7">
        <v>0</v>
      </c>
      <c r="AF10" s="7">
        <v>0</v>
      </c>
      <c r="AG10" s="7">
        <v>0.19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0.67</v>
      </c>
      <c r="AO10" s="7">
        <v>0</v>
      </c>
      <c r="AP10" s="7">
        <v>1.02</v>
      </c>
      <c r="AQ10" s="7">
        <v>2.09</v>
      </c>
      <c r="AR10" s="7">
        <v>1.51</v>
      </c>
      <c r="AS10" s="7">
        <v>0.84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0.38</v>
      </c>
      <c r="AZ10" s="7">
        <v>0.19</v>
      </c>
      <c r="BA10" s="7">
        <v>0.42</v>
      </c>
      <c r="BB10" s="7">
        <v>0.42</v>
      </c>
      <c r="BC10" s="7">
        <v>0</v>
      </c>
      <c r="BD10" s="7">
        <v>0.26</v>
      </c>
      <c r="BE10" s="7">
        <v>0.06</v>
      </c>
      <c r="BF10" s="7">
        <v>0.36</v>
      </c>
    </row>
    <row r="11" spans="1:58" s="11" customFormat="1" x14ac:dyDescent="0.2">
      <c r="C11" s="11">
        <f>SUM(C2:C10)</f>
        <v>99.99</v>
      </c>
      <c r="D11" s="11">
        <f>SUM(D2:D10)</f>
        <v>100</v>
      </c>
      <c r="E11" s="11">
        <f>SUM(E2:E10)</f>
        <v>99.999999999999986</v>
      </c>
      <c r="F11" s="11">
        <f>SUM(F2:F10)</f>
        <v>100</v>
      </c>
      <c r="G11" s="11">
        <f>SUM(G2:G10)</f>
        <v>99.999999999999986</v>
      </c>
      <c r="H11" s="11">
        <f>SUM(H2:H10)</f>
        <v>99.990000000000009</v>
      </c>
      <c r="I11" s="11">
        <f>SUM(I2:I10)</f>
        <v>100</v>
      </c>
      <c r="J11" s="11">
        <v>0</v>
      </c>
      <c r="K11" s="11">
        <f>SUM(K2:K10)</f>
        <v>100.01</v>
      </c>
      <c r="L11" s="11">
        <f>SUM(L2:L10)</f>
        <v>100</v>
      </c>
      <c r="M11" s="11">
        <f>SUM(M2:M10)</f>
        <v>100.01</v>
      </c>
      <c r="N11" s="11">
        <f>SUM(N2:N10)</f>
        <v>100.00000000000001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f>SUM(Y2:Y10)</f>
        <v>99.990000000000009</v>
      </c>
      <c r="Z11" s="11">
        <f>SUM(Z2:Z10)</f>
        <v>100.00000000000001</v>
      </c>
      <c r="AA11" s="11">
        <f>SUM(AA2:AA10)</f>
        <v>100</v>
      </c>
      <c r="AB11" s="11">
        <f>SUM(AB2:AB10)</f>
        <v>99.99</v>
      </c>
      <c r="AC11" s="11">
        <f>SUM(AC2:AC10)</f>
        <v>99.999999999999986</v>
      </c>
      <c r="AD11" s="11">
        <f>SUM(AD2:AD10)</f>
        <v>99.990000000000009</v>
      </c>
      <c r="AE11" s="11">
        <f>SUM(AE2:AE10)</f>
        <v>100</v>
      </c>
      <c r="AF11" s="11">
        <f>SUM(AF2:AF10)</f>
        <v>99.99</v>
      </c>
      <c r="AG11" s="11">
        <f>SUM(AG2:AG10)</f>
        <v>100</v>
      </c>
      <c r="AH11" s="11">
        <f>SUM(AH2:AH10)</f>
        <v>100</v>
      </c>
      <c r="AI11" s="11">
        <f>SUM(AI2:AI10)</f>
        <v>100</v>
      </c>
      <c r="AJ11" s="11">
        <f>SUM(AJ2:AJ10)</f>
        <v>100</v>
      </c>
      <c r="AK11" s="11">
        <f>SUM(AK2:AK10)</f>
        <v>100</v>
      </c>
      <c r="AL11" s="11">
        <f>SUM(AL2:AL10)</f>
        <v>100</v>
      </c>
      <c r="AM11" s="11">
        <f>SUM(AM2:AM10)</f>
        <v>100</v>
      </c>
      <c r="AN11" s="11">
        <f>SUM(AN2:AN10)</f>
        <v>100</v>
      </c>
      <c r="AO11" s="11">
        <f>SUM(AO2:AO10)</f>
        <v>99.99</v>
      </c>
      <c r="AP11" s="11">
        <f>SUM(AP2:AP10)</f>
        <v>100</v>
      </c>
      <c r="AQ11" s="11">
        <f>SUM(AQ2:AQ10)</f>
        <v>99.990000000000009</v>
      </c>
      <c r="AR11" s="11">
        <f>SUM(AR2:AR10)</f>
        <v>100.01</v>
      </c>
      <c r="AS11" s="11">
        <f>SUM(AS2:AS10)</f>
        <v>100</v>
      </c>
      <c r="AT11" s="11">
        <v>0</v>
      </c>
      <c r="AU11" s="11">
        <f>SUM(AU2:AU10)</f>
        <v>100.01</v>
      </c>
      <c r="AV11" s="11">
        <f>SUM(AV2:AV10)</f>
        <v>100.00999999999999</v>
      </c>
      <c r="AW11" s="11">
        <f>SUM(AW2:AW10)</f>
        <v>100</v>
      </c>
      <c r="AX11" s="11">
        <f>SUM(AX2:AX10)</f>
        <v>100.01</v>
      </c>
      <c r="AY11" s="11">
        <f>SUM(AY2:AY10)</f>
        <v>100</v>
      </c>
      <c r="AZ11" s="11">
        <f>SUM(AZ2:AZ10)</f>
        <v>100.00999999999999</v>
      </c>
      <c r="BA11" s="11">
        <f>SUM(BA2:BA10)</f>
        <v>100</v>
      </c>
      <c r="BB11" s="11">
        <f>SUM(BB2:BB10)</f>
        <v>100</v>
      </c>
      <c r="BC11" s="11">
        <f>SUM(BC2:BC10)</f>
        <v>100</v>
      </c>
      <c r="BD11" s="11">
        <f>SUM(BD2:BD10)</f>
        <v>100</v>
      </c>
      <c r="BE11" s="11">
        <f>SUM(BE2:BE10)</f>
        <v>100</v>
      </c>
      <c r="BF11" s="11">
        <f>SUM(BF2:BF10)</f>
        <v>100.00000000000001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09F828-9D47-BC4E-A429-F15A9DBB3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1) Tabber</vt:lpstr>
      <vt:lpstr>2) Front End</vt:lpstr>
      <vt:lpstr>3) Back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Leandro Cherulli</cp:lastModifiedBy>
  <dcterms:created xsi:type="dcterms:W3CDTF">2026-08-13T10:11:49Z</dcterms:created>
  <dcterms:modified xsi:type="dcterms:W3CDTF">2026-10-06T20:15:10Z</dcterms:modified>
</cp:coreProperties>
</file>